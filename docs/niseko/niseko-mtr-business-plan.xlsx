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サマリー" sheetId="1" state="visible" r:id="rId3"/>
    <sheet name="前提・投資" sheetId="2" state="visible" r:id="rId4"/>
    <sheet name="MTR収支" sheetId="3" state="visible" r:id="rId5"/>
    <sheet name="AP飲食収支" sheetId="4" state="visible" r:id="rId6"/>
    <sheet name="施設タイプ比較" sheetId="5" state="visible" r:id="rId7"/>
    <sheet name="人件費積上" sheetId="6" state="visible" r:id="rId8"/>
    <sheet name="実績較正根拠" sheetId="7" state="visible" r:id="rId9"/>
    <sheet name="業態別トップライン" sheetId="8" state="visible" r:id="rId10"/>
    <sheet name="改装工事内訳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<sst xmlns="http://schemas.openxmlformats.org/spreadsheetml/2006/main" count="408" uniqueCount="370">
  <si>
    <t xml:space="preserve">ニセコビレッジ物件　投資判断サマリー（社内意思決定資料）</t>
  </si>
  <si>
    <r>
      <rPr>
        <i val="true"/>
        <sz val="8"/>
        <color rgb="FF808080"/>
        <rFont val="Arial"/>
        <family val="0"/>
        <charset val="1"/>
      </rPr>
      <t xml:space="preserve">MTR</t>
    </r>
    <r>
      <rPr>
        <i val="true"/>
        <sz val="8"/>
        <color rgb="FF808080"/>
        <rFont val="Noto Sans CJK SC"/>
        <family val="2"/>
      </rPr>
      <t xml:space="preserve">（不動産保有・賃貸）＋ </t>
    </r>
    <r>
      <rPr>
        <i val="true"/>
        <sz val="8"/>
        <color rgb="FF808080"/>
        <rFont val="Arial"/>
        <family val="0"/>
        <charset val="1"/>
      </rPr>
      <t xml:space="preserve">AP</t>
    </r>
    <r>
      <rPr>
        <i val="true"/>
        <sz val="8"/>
        <color rgb="FF808080"/>
        <rFont val="Noto Sans CJK SC"/>
        <family val="2"/>
      </rPr>
      <t xml:space="preserve">ホールディングス（飲食運営）／ 単位：万円　※数値は前提シートで調整可</t>
    </r>
  </si>
  <si>
    <t xml:space="preserve">シナリオ別 サマリー</t>
  </si>
  <si>
    <t xml:space="preserve">保守</t>
  </si>
  <si>
    <t xml:space="preserve">標準</t>
  </si>
  <si>
    <t xml:space="preserve">強気</t>
  </si>
  <si>
    <t xml:space="preserve">総投資額（MTR＋AP）</t>
  </si>
  <si>
    <t xml:space="preserve">土地・建物・トレハ・リノベ・什器・飲食設備の合計</t>
  </si>
  <si>
    <t xml:space="preserve">　うちMTR（不動産）</t>
  </si>
  <si>
    <t xml:space="preserve">土地+その他+トレハ+リノベ+什器</t>
  </si>
  <si>
    <t xml:space="preserve">　うちAP（飲食設備）</t>
  </si>
  <si>
    <r>
      <rPr>
        <i val="true"/>
        <sz val="8"/>
        <color rgb="FF808080"/>
        <rFont val="Arial"/>
        <family val="0"/>
        <charset val="1"/>
      </rPr>
      <t xml:space="preserve">3</t>
    </r>
    <r>
      <rPr>
        <i val="true"/>
        <sz val="8"/>
        <color rgb="FF808080"/>
        <rFont val="Noto Sans CJK SC"/>
        <family val="2"/>
      </rPr>
      <t xml:space="preserve">業態</t>
    </r>
    <r>
      <rPr>
        <i val="true"/>
        <sz val="8"/>
        <color rgb="FF808080"/>
        <rFont val="Arial"/>
        <family val="0"/>
        <charset val="1"/>
      </rPr>
      <t xml:space="preserve">(</t>
    </r>
    <r>
      <rPr>
        <i val="true"/>
        <sz val="8"/>
        <color rgb="FF808080"/>
        <rFont val="Noto Sans CJK SC"/>
        <family val="2"/>
      </rPr>
      <t xml:space="preserve">または絞込</t>
    </r>
    <r>
      <rPr>
        <i val="true"/>
        <sz val="8"/>
        <color rgb="FF808080"/>
        <rFont val="Arial"/>
        <family val="0"/>
        <charset val="1"/>
      </rPr>
      <t xml:space="preserve">)</t>
    </r>
    <r>
      <rPr>
        <i val="true"/>
        <sz val="8"/>
        <color rgb="FF808080"/>
        <rFont val="Noto Sans CJK SC"/>
        <family val="2"/>
      </rPr>
      <t xml:space="preserve">の設備投資</t>
    </r>
  </si>
  <si>
    <r>
      <rPr>
        <sz val="10"/>
        <color rgb="FF000000"/>
        <rFont val="Arial"/>
        <family val="0"/>
        <charset val="1"/>
      </rPr>
      <t xml:space="preserve">MTR </t>
    </r>
    <r>
      <rPr>
        <sz val="10"/>
        <color rgb="FF000000"/>
        <rFont val="Noto Sans CJK SC"/>
        <family val="2"/>
      </rPr>
      <t xml:space="preserve">年間家賃・運用収入</t>
    </r>
  </si>
  <si>
    <t xml:space="preserve">民泊収入＋飲食からの賃料1,200万</t>
  </si>
  <si>
    <r>
      <rPr>
        <sz val="10"/>
        <color rgb="FF000000"/>
        <rFont val="Arial"/>
        <family val="0"/>
        <charset val="1"/>
      </rPr>
      <t xml:space="preserve">MTR </t>
    </r>
    <r>
      <rPr>
        <sz val="10"/>
        <color rgb="FF000000"/>
        <rFont val="Noto Sans CJK SC"/>
        <family val="2"/>
      </rPr>
      <t xml:space="preserve">年間営業利益</t>
    </r>
  </si>
  <si>
    <t xml:space="preserve">運用費・税・減価償却控除後</t>
  </si>
  <si>
    <r>
      <rPr>
        <sz val="10"/>
        <color rgb="FF000000"/>
        <rFont val="Arial"/>
        <family val="0"/>
        <charset val="1"/>
      </rPr>
      <t xml:space="preserve">MTR </t>
    </r>
    <r>
      <rPr>
        <sz val="10"/>
        <color rgb="FF000000"/>
        <rFont val="Noto Sans CJK SC"/>
        <family val="2"/>
      </rPr>
      <t xml:space="preserve">投資利回り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対不動産投資</t>
    </r>
    <r>
      <rPr>
        <sz val="10"/>
        <color rgb="FF000000"/>
        <rFont val="Arial"/>
        <family val="0"/>
        <charset val="1"/>
      </rPr>
      <t xml:space="preserve">)</t>
    </r>
  </si>
  <si>
    <t xml:space="preserve">営業利益÷MTR投資</t>
  </si>
  <si>
    <r>
      <rPr>
        <sz val="10"/>
        <color rgb="FF000000"/>
        <rFont val="Arial"/>
        <family val="0"/>
        <charset val="1"/>
      </rPr>
      <t xml:space="preserve">AP </t>
    </r>
    <r>
      <rPr>
        <sz val="10"/>
        <color rgb="FF000000"/>
        <rFont val="Noto Sans CJK SC"/>
        <family val="2"/>
      </rPr>
      <t xml:space="preserve">飲食 年間売上</t>
    </r>
  </si>
  <si>
    <t xml:space="preserve">冬季3業態＋通年パンケーキ</t>
  </si>
  <si>
    <r>
      <rPr>
        <sz val="10"/>
        <color rgb="FF000000"/>
        <rFont val="Arial"/>
        <family val="0"/>
        <charset val="1"/>
      </rPr>
      <t xml:space="preserve">AP </t>
    </r>
    <r>
      <rPr>
        <sz val="10"/>
        <color rgb="FF000000"/>
        <rFont val="Noto Sans CJK SC"/>
        <family val="2"/>
      </rPr>
      <t xml:space="preserve">飲食 営業利益</t>
    </r>
  </si>
  <si>
    <t xml:space="preserve">賃料・人件費・原価控除後</t>
  </si>
  <si>
    <r>
      <rPr>
        <sz val="10"/>
        <color rgb="FF000000"/>
        <rFont val="Arial"/>
        <family val="0"/>
        <charset val="1"/>
      </rPr>
      <t xml:space="preserve">AP </t>
    </r>
    <r>
      <rPr>
        <sz val="10"/>
        <color rgb="FF000000"/>
        <rFont val="Noto Sans CJK SC"/>
        <family val="2"/>
      </rPr>
      <t xml:space="preserve">営業利益率</t>
    </r>
  </si>
  <si>
    <t xml:space="preserve">事業全体 年間営業利益</t>
  </si>
  <si>
    <r>
      <rPr>
        <i val="true"/>
        <sz val="8"/>
        <color rgb="FF808080"/>
        <rFont val="Arial"/>
        <family val="0"/>
        <charset val="1"/>
      </rPr>
      <t xml:space="preserve">MTR</t>
    </r>
    <r>
      <rPr>
        <i val="true"/>
        <sz val="8"/>
        <color rgb="FF808080"/>
        <rFont val="Noto Sans CJK SC"/>
        <family val="2"/>
      </rPr>
      <t xml:space="preserve">＋</t>
    </r>
    <r>
      <rPr>
        <i val="true"/>
        <sz val="8"/>
        <color rgb="FF808080"/>
        <rFont val="Arial"/>
        <family val="0"/>
        <charset val="1"/>
      </rPr>
      <t xml:space="preserve">AP</t>
    </r>
    <r>
      <rPr>
        <i val="true"/>
        <sz val="8"/>
        <color rgb="FF808080"/>
        <rFont val="Noto Sans CJK SC"/>
        <family val="2"/>
      </rPr>
      <t xml:space="preserve">合算</t>
    </r>
  </si>
  <si>
    <t xml:space="preserve">事業全体 投資回収年数(目安)</t>
  </si>
  <si>
    <t xml:space="preserve">総投資÷全体営業利益（キャピタル除く）</t>
  </si>
  <si>
    <t xml:space="preserve">【キャピタルゲイン（参考・本線外）】</t>
  </si>
  <si>
    <t xml:space="preserve">土地は収益と別枠。ビレッジ再開発で時価上昇を期待するが計画の前提にはしない（インカムで回す前提）</t>
  </si>
  <si>
    <t xml:space="preserve">判断の要点</t>
  </si>
  <si>
    <t xml:space="preserve">① 元計画の「売上2.5〜3.0億・利益15%」は強気ケース。意思決定は標準〜保守で行う</t>
  </si>
  <si>
    <t xml:space="preserve">② 飲食は100㎡×人材難で3業態フル回転は非現実的→業態を絞れば設備投資を圧縮できる</t>
  </si>
  <si>
    <t xml:space="preserve">③ 民泊収益が最大のアップサイド。固定利回りでなくADR×稼働の実額で見る</t>
  </si>
  <si>
    <t xml:space="preserve">④ トレーラーハウスは車両扱い維持で固定資産税ゼロ＋4年償却。ドームは豪雪地で冬に弱く非推奨</t>
  </si>
  <si>
    <t xml:space="preserve">⑤ 許認可（旅館業/民泊新法・用途変更・トレハの車両性）が投資の前提条件。崩れたら全部やり直し</t>
  </si>
  <si>
    <t xml:space="preserve">【実績較正の結論】自社181店FY25実績で較正。AP実績の季節性(しゃぶしゃぶ冬3ヶ月32%)より、ニセコ冬一極集中(冬110日に7-8割集中)を反映し本州ピーク月商に冬係数1.6-1.8を乗じた。結果、元計画(売上2.5-2.85億・利益15%)は当モデルの『標準』に一致=実績的に達成可能。しゃぶしゃぶは季節性・FL(54%)・利益率(27%)すべて最強で、業態を絞るならしゃぶしゃぶ軸を推奨。</t>
  </si>
  <si>
    <r>
      <rPr>
        <b val="true"/>
        <sz val="10"/>
        <color rgb="FFC00000"/>
        <rFont val="Noto Sans CJK SC"/>
        <family val="2"/>
      </rPr>
      <t xml:space="preserve">【法令確認の結論（検査済証・浄化槽書類より）】①所在地はニセコ町で確定、用途も『住宅・店舗・事務所』で店舗営業の素地あり。②但し最重要リスクは浄化槽——現状は住宅前提の</t>
    </r>
    <r>
      <rPr>
        <b val="true"/>
        <sz val="10"/>
        <color rgb="FFC00000"/>
        <rFont val="Arial"/>
        <family val="0"/>
        <charset val="1"/>
      </rPr>
      <t xml:space="preserve">10</t>
    </r>
    <r>
      <rPr>
        <b val="true"/>
        <sz val="10"/>
        <color rgb="FFC00000"/>
        <rFont val="Noto Sans CJK SC"/>
        <family val="2"/>
      </rPr>
      <t xml:space="preserve">人槽だが、飲食</t>
    </r>
    <r>
      <rPr>
        <b val="true"/>
        <sz val="10"/>
        <color rgb="FFC00000"/>
        <rFont val="Arial"/>
        <family val="0"/>
        <charset val="1"/>
      </rPr>
      <t xml:space="preserve">3</t>
    </r>
    <r>
      <rPr>
        <b val="true"/>
        <sz val="10"/>
        <color rgb="FFC00000"/>
        <rFont val="Noto Sans CJK SC"/>
        <family val="2"/>
      </rPr>
      <t xml:space="preserve">業態</t>
    </r>
    <r>
      <rPr>
        <b val="true"/>
        <sz val="10"/>
        <color rgb="FFC00000"/>
        <rFont val="Arial"/>
        <family val="0"/>
        <charset val="1"/>
      </rPr>
      <t xml:space="preserve">+</t>
    </r>
    <r>
      <rPr>
        <b val="true"/>
        <sz val="10"/>
        <color rgb="FFC00000"/>
        <rFont val="Noto Sans CJK SC"/>
        <family val="2"/>
      </rPr>
      <t xml:space="preserve">民泊で</t>
    </r>
    <r>
      <rPr>
        <b val="true"/>
        <sz val="10"/>
        <color rgb="FFC00000"/>
        <rFont val="Arial"/>
        <family val="0"/>
        <charset val="1"/>
      </rPr>
      <t xml:space="preserve">JIS</t>
    </r>
    <r>
      <rPr>
        <b val="true"/>
        <sz val="10"/>
        <color rgb="FFC00000"/>
        <rFont val="Noto Sans CJK SC"/>
        <family val="2"/>
      </rPr>
      <t xml:space="preserve">算定人員が約</t>
    </r>
    <r>
      <rPr>
        <b val="true"/>
        <sz val="10"/>
        <color rgb="FFC00000"/>
        <rFont val="Arial"/>
        <family val="0"/>
        <charset val="1"/>
      </rPr>
      <t xml:space="preserve">100</t>
    </r>
    <r>
      <rPr>
        <b val="true"/>
        <sz val="10"/>
        <color rgb="FFC00000"/>
        <rFont val="Noto Sans CJK SC"/>
        <family val="2"/>
      </rPr>
      <t xml:space="preserve">〜</t>
    </r>
    <r>
      <rPr>
        <b val="true"/>
        <sz val="10"/>
        <color rgb="FFC00000"/>
        <rFont val="Arial"/>
        <family val="0"/>
        <charset val="1"/>
      </rPr>
      <t xml:space="preserve">140</t>
    </r>
    <r>
      <rPr>
        <b val="true"/>
        <sz val="10"/>
        <color rgb="FFC00000"/>
        <rFont val="Noto Sans CJK SC"/>
        <family val="2"/>
      </rPr>
      <t xml:space="preserve">人規模に。増設に</t>
    </r>
    <r>
      <rPr>
        <b val="true"/>
        <sz val="10"/>
        <color rgb="FFC00000"/>
        <rFont val="Arial"/>
        <family val="0"/>
        <charset val="1"/>
      </rPr>
      <t xml:space="preserve">1,000</t>
    </r>
    <r>
      <rPr>
        <b val="true"/>
        <sz val="10"/>
        <color rgb="FFC00000"/>
        <rFont val="Noto Sans CJK SC"/>
        <family val="2"/>
      </rPr>
      <t xml:space="preserve">万円超かかり、会長提示の給排水改修</t>
    </r>
    <r>
      <rPr>
        <b val="true"/>
        <sz val="10"/>
        <color rgb="FFC00000"/>
        <rFont val="Arial"/>
        <family val="0"/>
        <charset val="1"/>
      </rPr>
      <t xml:space="preserve">400</t>
    </r>
    <r>
      <rPr>
        <b val="true"/>
        <sz val="10"/>
        <color rgb="FFC00000"/>
        <rFont val="Noto Sans CJK SC"/>
        <family val="2"/>
      </rPr>
      <t xml:space="preserve">万では不足。別途計上必須。③</t>
    </r>
    <r>
      <rPr>
        <b val="true"/>
        <sz val="10"/>
        <color rgb="FFC00000"/>
        <rFont val="Arial"/>
        <family val="0"/>
        <charset val="1"/>
      </rPr>
      <t xml:space="preserve">2</t>
    </r>
    <r>
      <rPr>
        <b val="true"/>
        <sz val="10"/>
        <color rgb="FFC00000"/>
        <rFont val="Noto Sans CJK SC"/>
        <family val="2"/>
      </rPr>
      <t xml:space="preserve">・</t>
    </r>
    <r>
      <rPr>
        <b val="true"/>
        <sz val="10"/>
        <color rgb="FFC00000"/>
        <rFont val="Arial"/>
        <family val="0"/>
        <charset val="1"/>
      </rPr>
      <t xml:space="preserve">3</t>
    </r>
    <r>
      <rPr>
        <b val="true"/>
        <sz val="10"/>
        <color rgb="FFC00000"/>
        <rFont val="Noto Sans CJK SC"/>
        <family val="2"/>
      </rPr>
      <t xml:space="preserve">階の民泊化は用途変更</t>
    </r>
    <r>
      <rPr>
        <b val="true"/>
        <sz val="10"/>
        <color rgb="FFC00000"/>
        <rFont val="Arial"/>
        <family val="0"/>
        <charset val="1"/>
      </rPr>
      <t xml:space="preserve">+</t>
    </r>
    <r>
      <rPr>
        <b val="true"/>
        <sz val="10"/>
        <color rgb="FFC00000"/>
        <rFont val="Noto Sans CJK SC"/>
        <family val="2"/>
      </rPr>
      <t xml:space="preserve">旅館業</t>
    </r>
    <r>
      <rPr>
        <b val="true"/>
        <sz val="10"/>
        <color rgb="FFC00000"/>
        <rFont val="Arial"/>
        <family val="0"/>
        <charset val="1"/>
      </rPr>
      <t xml:space="preserve">(</t>
    </r>
    <r>
      <rPr>
        <b val="true"/>
        <sz val="10"/>
        <color rgb="FFC00000"/>
        <rFont val="Noto Sans CJK SC"/>
        <family val="2"/>
      </rPr>
      <t xml:space="preserve">簡易宿所</t>
    </r>
    <r>
      <rPr>
        <b val="true"/>
        <sz val="10"/>
        <color rgb="FFC00000"/>
        <rFont val="Arial"/>
        <family val="0"/>
        <charset val="1"/>
      </rPr>
      <t xml:space="preserve">)</t>
    </r>
    <r>
      <rPr>
        <b val="true"/>
        <sz val="10"/>
        <color rgb="FFC00000"/>
        <rFont val="Noto Sans CJK SC"/>
        <family val="2"/>
      </rPr>
      <t xml:space="preserve">許可が必要。これらを反映し改装総額は会長提示</t>
    </r>
    <r>
      <rPr>
        <b val="true"/>
        <sz val="10"/>
        <color rgb="FFC00000"/>
        <rFont val="Arial"/>
        <family val="0"/>
        <charset val="1"/>
      </rPr>
      <t xml:space="preserve">1.2</t>
    </r>
    <r>
      <rPr>
        <b val="true"/>
        <sz val="10"/>
        <color rgb="FFC00000"/>
        <rFont val="Noto Sans CJK SC"/>
        <family val="2"/>
      </rPr>
      <t xml:space="preserve">億→補正後</t>
    </r>
    <r>
      <rPr>
        <b val="true"/>
        <sz val="10"/>
        <color rgb="FFC00000"/>
        <rFont val="Arial"/>
        <family val="0"/>
        <charset val="1"/>
      </rPr>
      <t xml:space="preserve">1.37</t>
    </r>
    <r>
      <rPr>
        <b val="true"/>
        <sz val="10"/>
        <color rgb="FFC00000"/>
        <rFont val="Noto Sans CJK SC"/>
        <family val="2"/>
      </rPr>
      <t xml:space="preserve">億。投資実行前にニセコ町の浄化槽指導要綱・旅館業許可要件・用途変更の可否を必ず確認すること。</t>
    </r>
  </si>
  <si>
    <t xml:space="preserve">投資前提（青字＝変更可能な入力値／単位：万円）</t>
  </si>
  <si>
    <t xml:space="preserve">投資項目</t>
  </si>
  <si>
    <t xml:space="preserve">根拠・メモ</t>
  </si>
  <si>
    <t xml:space="preserve">【MTR：不動産】</t>
  </si>
  <si>
    <t xml:space="preserve">土地取得</t>
  </si>
  <si>
    <t xml:space="preserve">ご提示1.3億。ニセコ中心部は坪300万との報道あり、ビレッジ至近の収益物件</t>
  </si>
  <si>
    <t xml:space="preserve">その他（什器・家具・ベッド等）</t>
  </si>
  <si>
    <t xml:space="preserve">ご提示0.2億。民泊+飲食の備品。保守は絞込で圧縮</t>
  </si>
  <si>
    <t xml:space="preserve">トレーラーハウス①（民泊）</t>
  </si>
  <si>
    <t xml:space="preserve">本体+設置800〜1500万。車両扱い維持で固定資産税ゼロ</t>
  </si>
  <si>
    <t xml:space="preserve">トレーラーハウス②（民泊）</t>
  </si>
  <si>
    <t xml:space="preserve">同上。2棟運用</t>
  </si>
  <si>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・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階リノベ（民泊転用）</t>
    </r>
  </si>
  <si>
    <t xml:space="preserve">会長実額: 民泊客室1500+共用部800+サウナ屋外1500+設備按分+浄化槽3割+用途変更500</t>
  </si>
  <si>
    <r>
      <rPr>
        <b val="true"/>
        <sz val="10"/>
        <color rgb="FF000000"/>
        <rFont val="Arial"/>
        <family val="0"/>
        <charset val="1"/>
      </rPr>
      <t xml:space="preserve">MTR</t>
    </r>
    <r>
      <rPr>
        <b val="true"/>
        <sz val="10"/>
        <color rgb="FF000000"/>
        <rFont val="Noto Sans CJK SC"/>
        <family val="2"/>
      </rPr>
      <t xml:space="preserve">投資 小計</t>
    </r>
  </si>
  <si>
    <t xml:space="preserve">土地+その他+トレハ+リノベ</t>
  </si>
  <si>
    <t xml:space="preserve">【AP：飲食設備投資】</t>
  </si>
  <si>
    <t xml:space="preserve">寿司・焼鳥（改装+厨房+按分）</t>
  </si>
  <si>
    <t xml:space="preserve">会長実額: 改装1800+厨房1200。AP実績で焼鳥FL57%・利益21%</t>
  </si>
  <si>
    <t xml:space="preserve">ジンギスカン（改装+厨房）</t>
  </si>
  <si>
    <t xml:space="preserve">会長実額: 改装1500+厨房800</t>
  </si>
  <si>
    <t xml:space="preserve">カフェ＋共通設備＋法令按分</t>
  </si>
  <si>
    <t xml:space="preserve">カフェ改装1000+厨房400+空調給排水電気の飲食按分+浄化槽7割+申請</t>
  </si>
  <si>
    <r>
      <rPr>
        <b val="true"/>
        <sz val="10"/>
        <color rgb="FF000000"/>
        <rFont val="Arial"/>
        <family val="0"/>
        <charset val="1"/>
      </rPr>
      <t xml:space="preserve">AP</t>
    </r>
    <r>
      <rPr>
        <b val="true"/>
        <sz val="10"/>
        <color rgb="FF000000"/>
        <rFont val="Noto Sans CJK SC"/>
        <family val="2"/>
      </rPr>
      <t xml:space="preserve">投資 小計</t>
    </r>
  </si>
  <si>
    <r>
      <rPr>
        <i val="true"/>
        <sz val="8"/>
        <color rgb="FF808080"/>
        <rFont val="Arial"/>
        <family val="0"/>
        <charset val="1"/>
      </rPr>
      <t xml:space="preserve">3</t>
    </r>
    <r>
      <rPr>
        <i val="true"/>
        <sz val="8"/>
        <color rgb="FF808080"/>
        <rFont val="Noto Sans CJK SC"/>
        <family val="2"/>
      </rPr>
      <t xml:space="preserve">業態合計（保守は業態絞込で圧縮）</t>
    </r>
  </si>
  <si>
    <t xml:space="preserve">強気=元計画の2.3億(不動産)+1.3億(飲食)=3.6億に概ね一致</t>
  </si>
  <si>
    <r>
      <rPr>
        <b val="true"/>
        <sz val="14"/>
        <color rgb="FFFFFFFF"/>
        <rFont val="Arial"/>
        <family val="0"/>
        <charset val="1"/>
      </rPr>
      <t xml:space="preserve">MTR</t>
    </r>
    <r>
      <rPr>
        <b val="true"/>
        <sz val="14"/>
        <color rgb="FFFFFFFF"/>
        <rFont val="Noto Sans CJK SC"/>
        <family val="2"/>
      </rPr>
      <t xml:space="preserve">収支（不動産：民泊運用＋飲食賃料）　単位：万円</t>
    </r>
  </si>
  <si>
    <t xml:space="preserve">民泊 運用前提</t>
  </si>
  <si>
    <t xml:space="preserve">運用ユニット数（棟・室）</t>
  </si>
  <si>
    <t xml:space="preserve">トレハ2棟＋2/3階の貸室。台数は調整可</t>
  </si>
  <si>
    <t xml:space="preserve">冬ADR（1ユニット/泊・万円）</t>
  </si>
  <si>
    <t xml:space="preserve">素泊まり相場1.7万〜。ビレッジ至近1棟貸しは数倍。万円</t>
  </si>
  <si>
    <t xml:space="preserve">冬 営業日数</t>
  </si>
  <si>
    <t xml:space="preserve">ニセコ100日戦争（12〜3月）</t>
  </si>
  <si>
    <t xml:space="preserve">冬 稼働率</t>
  </si>
  <si>
    <t xml:space="preserve">ハイシーズンは高稼働</t>
  </si>
  <si>
    <t xml:space="preserve">夏ADR（1ユニット/泊・万円）</t>
  </si>
  <si>
    <t xml:space="preserve">グリーンシーズン。ゴンドラ通年化で上昇余地</t>
  </si>
  <si>
    <t xml:space="preserve">夏 営業日数</t>
  </si>
  <si>
    <r>
      <rPr>
        <i val="true"/>
        <sz val="8"/>
        <color rgb="FF808080"/>
        <rFont val="Arial"/>
        <family val="0"/>
        <charset val="1"/>
      </rPr>
      <t xml:space="preserve">4</t>
    </r>
    <r>
      <rPr>
        <i val="true"/>
        <sz val="8"/>
        <color rgb="FF808080"/>
        <rFont val="Noto Sans CJK SC"/>
        <family val="2"/>
      </rPr>
      <t xml:space="preserve">〜</t>
    </r>
    <r>
      <rPr>
        <i val="true"/>
        <sz val="8"/>
        <color rgb="FF808080"/>
        <rFont val="Arial"/>
        <family val="0"/>
        <charset val="1"/>
      </rPr>
      <t xml:space="preserve">11</t>
    </r>
    <r>
      <rPr>
        <i val="true"/>
        <sz val="8"/>
        <color rgb="FF808080"/>
        <rFont val="Noto Sans CJK SC"/>
        <family val="2"/>
      </rPr>
      <t xml:space="preserve">月の稼働可能日</t>
    </r>
  </si>
  <si>
    <t xml:space="preserve">夏 稼働率</t>
  </si>
  <si>
    <t xml:space="preserve">冬より低い</t>
  </si>
  <si>
    <t xml:space="preserve">冬季 民泊売上</t>
  </si>
  <si>
    <t xml:space="preserve">ユニット×冬ADR×日数×稼働</t>
  </si>
  <si>
    <t xml:space="preserve">夏季 民泊売上</t>
  </si>
  <si>
    <t xml:space="preserve">ユニット×夏ADR×日数×稼働</t>
  </si>
  <si>
    <t xml:space="preserve">民泊 年間売上</t>
  </si>
  <si>
    <t xml:space="preserve">民泊 運用費前提</t>
  </si>
  <si>
    <r>
      <rPr>
        <sz val="10"/>
        <color rgb="FF000000"/>
        <rFont val="Arial"/>
        <family val="0"/>
        <charset val="1"/>
      </rPr>
      <t xml:space="preserve">OTA</t>
    </r>
    <r>
      <rPr>
        <sz val="10"/>
        <color rgb="FF000000"/>
        <rFont val="Noto Sans CJK SC"/>
        <family val="2"/>
      </rPr>
      <t xml:space="preserve">手数料率</t>
    </r>
  </si>
  <si>
    <r>
      <rPr>
        <i val="true"/>
        <sz val="8"/>
        <color rgb="FF808080"/>
        <rFont val="Arial"/>
        <family val="0"/>
        <charset val="1"/>
      </rPr>
      <t xml:space="preserve">Booking/Airbnb</t>
    </r>
    <r>
      <rPr>
        <i val="true"/>
        <sz val="8"/>
        <color rgb="FF808080"/>
        <rFont val="Noto Sans CJK SC"/>
        <family val="2"/>
      </rPr>
      <t xml:space="preserve">等の手数料</t>
    </r>
  </si>
  <si>
    <t xml:space="preserve">清掃・運営費率</t>
  </si>
  <si>
    <t xml:space="preserve">清掃外注・消耗品・水光熱。省人化で低減</t>
  </si>
  <si>
    <t xml:space="preserve">管理委託・その他率</t>
  </si>
  <si>
    <t xml:space="preserve">運営代行・保険・修繕積立</t>
  </si>
  <si>
    <t xml:space="preserve">民泊 運用費合計</t>
  </si>
  <si>
    <t xml:space="preserve">売上×(手数料+清掃+管理)</t>
  </si>
  <si>
    <t xml:space="preserve">民泊 運用利益</t>
  </si>
  <si>
    <t xml:space="preserve">飲食からの賃料収入（AP→MTR）</t>
  </si>
  <si>
    <t xml:space="preserve">ご提示：1階飲食店の家賃 年1,200万（固定）</t>
  </si>
  <si>
    <r>
      <rPr>
        <b val="true"/>
        <sz val="11"/>
        <color rgb="FFFFFFFF"/>
        <rFont val="Arial"/>
        <family val="0"/>
        <charset val="1"/>
      </rPr>
      <t xml:space="preserve">MTR </t>
    </r>
    <r>
      <rPr>
        <b val="true"/>
        <sz val="11"/>
        <color rgb="FFFFFFFF"/>
        <rFont val="Noto Sans CJK SC"/>
        <family val="2"/>
      </rPr>
      <t xml:space="preserve">年間総収入</t>
    </r>
  </si>
  <si>
    <t xml:space="preserve">民泊売上＋飲食賃料</t>
  </si>
  <si>
    <r>
      <rPr>
        <b val="true"/>
        <sz val="11"/>
        <color rgb="FFFFFFFF"/>
        <rFont val="Arial"/>
        <family val="0"/>
        <charset val="1"/>
      </rPr>
      <t xml:space="preserve">MTR </t>
    </r>
    <r>
      <rPr>
        <b val="true"/>
        <sz val="11"/>
        <color rgb="FFFFFFFF"/>
        <rFont val="Noto Sans CJK SC"/>
        <family val="2"/>
      </rPr>
      <t xml:space="preserve">費用</t>
    </r>
  </si>
  <si>
    <t xml:space="preserve">民泊 運用費</t>
  </si>
  <si>
    <t xml:space="preserve">上記より</t>
  </si>
  <si>
    <t xml:space="preserve">固定資産税（建物・土地）</t>
  </si>
  <si>
    <r>
      <rPr>
        <i val="true"/>
        <sz val="8"/>
        <color rgb="FF808080"/>
        <rFont val="Arial"/>
        <family val="0"/>
        <charset val="1"/>
      </rPr>
      <t xml:space="preserve">(</t>
    </r>
    <r>
      <rPr>
        <i val="true"/>
        <sz val="8"/>
        <color rgb="FF808080"/>
        <rFont val="Noto Sans CJK SC"/>
        <family val="2"/>
      </rPr>
      <t xml:space="preserve">土地</t>
    </r>
    <r>
      <rPr>
        <i val="true"/>
        <sz val="8"/>
        <color rgb="FF808080"/>
        <rFont val="Arial"/>
        <family val="0"/>
        <charset val="1"/>
      </rPr>
      <t xml:space="preserve">+</t>
    </r>
    <r>
      <rPr>
        <i val="true"/>
        <sz val="8"/>
        <color rgb="FF808080"/>
        <rFont val="Noto Sans CJK SC"/>
        <family val="2"/>
      </rPr>
      <t xml:space="preserve">リノベ建物</t>
    </r>
    <r>
      <rPr>
        <i val="true"/>
        <sz val="8"/>
        <color rgb="FF808080"/>
        <rFont val="Arial"/>
        <family val="0"/>
        <charset val="1"/>
      </rPr>
      <t xml:space="preserve">)×1.4%</t>
    </r>
    <r>
      <rPr>
        <i val="true"/>
        <sz val="8"/>
        <color rgb="FF808080"/>
        <rFont val="Noto Sans CJK SC"/>
        <family val="2"/>
      </rPr>
      <t xml:space="preserve">。トレハは車両扱いで対象外＝節税</t>
    </r>
  </si>
  <si>
    <t xml:space="preserve">減価償却費（建物・トレハ・什器）</t>
  </si>
  <si>
    <t xml:space="preserve">リノベ22年/トレハ4年/什器6年。トレハ早期償却で節税大</t>
  </si>
  <si>
    <r>
      <rPr>
        <b val="true"/>
        <sz val="10"/>
        <color rgb="FF000000"/>
        <rFont val="Arial"/>
        <family val="0"/>
        <charset val="1"/>
      </rPr>
      <t xml:space="preserve">MTR </t>
    </r>
    <r>
      <rPr>
        <b val="true"/>
        <sz val="10"/>
        <color rgb="FF000000"/>
        <rFont val="Noto Sans CJK SC"/>
        <family val="2"/>
      </rPr>
      <t xml:space="preserve">費用合計</t>
    </r>
  </si>
  <si>
    <r>
      <rPr>
        <b val="true"/>
        <sz val="11"/>
        <color rgb="FFFFFFFF"/>
        <rFont val="Arial"/>
        <family val="0"/>
        <charset val="1"/>
      </rPr>
      <t xml:space="preserve">MTR </t>
    </r>
    <r>
      <rPr>
        <b val="true"/>
        <sz val="11"/>
        <color rgb="FFFFFFFF"/>
        <rFont val="Noto Sans CJK SC"/>
        <family val="2"/>
      </rPr>
      <t xml:space="preserve">年間営業利益</t>
    </r>
  </si>
  <si>
    <t xml:space="preserve">総収入−費用合計（償却後）</t>
  </si>
  <si>
    <t xml:space="preserve">（参考）償却前利益＝実キャッシュフロー</t>
  </si>
  <si>
    <t xml:space="preserve">営業利益＋減価償却（手残り目安）</t>
  </si>
  <si>
    <r>
      <rPr>
        <b val="true"/>
        <sz val="10"/>
        <color rgb="FF000000"/>
        <rFont val="Arial"/>
        <family val="0"/>
        <charset val="1"/>
      </rPr>
      <t xml:space="preserve">MTR</t>
    </r>
    <r>
      <rPr>
        <b val="true"/>
        <sz val="10"/>
        <color rgb="FF000000"/>
        <rFont val="Noto Sans CJK SC"/>
        <family val="2"/>
      </rPr>
      <t xml:space="preserve">投資利回り（対不動産投資）</t>
    </r>
  </si>
  <si>
    <t xml:space="preserve">営業利益÷MTR投資小計</t>
  </si>
  <si>
    <r>
      <rPr>
        <b val="true"/>
        <sz val="14"/>
        <color rgb="FFFFFFFF"/>
        <rFont val="Arial"/>
        <family val="0"/>
        <charset val="1"/>
      </rPr>
      <t xml:space="preserve">AP</t>
    </r>
    <r>
      <rPr>
        <b val="true"/>
        <sz val="14"/>
        <color rgb="FFFFFFFF"/>
        <rFont val="Noto Sans CJK SC"/>
        <family val="2"/>
      </rPr>
      <t xml:space="preserve">飲食 収支（運営会社）　単位：万円</t>
    </r>
  </si>
  <si>
    <t xml:space="preserve">売上前提</t>
  </si>
  <si>
    <t xml:space="preserve">総席数（3業態合計）</t>
  </si>
  <si>
    <t xml:space="preserve">※売上は業態別シートで積上。下記席数等は参考(検算用)</t>
  </si>
  <si>
    <t xml:space="preserve">冬 客単価（円）</t>
  </si>
  <si>
    <r>
      <rPr>
        <i val="true"/>
        <sz val="8"/>
        <color rgb="FF808080"/>
        <rFont val="Arial"/>
        <family val="0"/>
        <charset val="1"/>
      </rPr>
      <t xml:space="preserve">AP</t>
    </r>
    <r>
      <rPr>
        <i val="true"/>
        <sz val="8"/>
        <color rgb="FF808080"/>
        <rFont val="Noto Sans CJK SC"/>
        <family val="2"/>
      </rPr>
      <t xml:space="preserve">実績の居酒屋客単価をニセコ高単価補正</t>
    </r>
  </si>
  <si>
    <r>
      <rPr>
        <i val="true"/>
        <sz val="8"/>
        <color rgb="FF808080"/>
        <rFont val="Arial"/>
        <family val="0"/>
        <charset val="1"/>
      </rPr>
      <t xml:space="preserve">12/10</t>
    </r>
    <r>
      <rPr>
        <i val="true"/>
        <sz val="8"/>
        <color rgb="FF808080"/>
        <rFont val="Noto Sans CJK SC"/>
        <family val="2"/>
      </rPr>
      <t xml:space="preserve">〜</t>
    </r>
    <r>
      <rPr>
        <i val="true"/>
        <sz val="8"/>
        <color rgb="FF808080"/>
        <rFont val="Arial"/>
        <family val="0"/>
        <charset val="1"/>
      </rPr>
      <t xml:space="preserve">3/31</t>
    </r>
  </si>
  <si>
    <t xml:space="preserve">冬 実効回転数（満席=1.0基準）</t>
  </si>
  <si>
    <r>
      <rPr>
        <i val="true"/>
        <sz val="8"/>
        <color rgb="FF808080"/>
        <rFont val="Arial"/>
        <family val="0"/>
        <charset val="1"/>
      </rPr>
      <t xml:space="preserve">1</t>
    </r>
    <r>
      <rPr>
        <i val="true"/>
        <sz val="8"/>
        <color rgb="FF808080"/>
        <rFont val="Noto Sans CJK SC"/>
        <family val="2"/>
      </rPr>
      <t xml:space="preserve">日の客数</t>
    </r>
    <r>
      <rPr>
        <i val="true"/>
        <sz val="8"/>
        <color rgb="FF808080"/>
        <rFont val="Arial"/>
        <family val="0"/>
        <charset val="1"/>
      </rPr>
      <t xml:space="preserve">=</t>
    </r>
    <r>
      <rPr>
        <i val="true"/>
        <sz val="8"/>
        <color rgb="FF808080"/>
        <rFont val="Noto Sans CJK SC"/>
        <family val="2"/>
      </rPr>
      <t xml:space="preserve">席数</t>
    </r>
    <r>
      <rPr>
        <i val="true"/>
        <sz val="8"/>
        <color rgb="FF808080"/>
        <rFont val="Arial"/>
        <family val="0"/>
        <charset val="1"/>
      </rPr>
      <t xml:space="preserve">×</t>
    </r>
    <r>
      <rPr>
        <i val="true"/>
        <sz val="8"/>
        <color rgb="FF808080"/>
        <rFont val="Noto Sans CJK SC"/>
        <family val="2"/>
      </rPr>
      <t xml:space="preserve">実効回転。満席</t>
    </r>
    <r>
      <rPr>
        <i val="true"/>
        <sz val="8"/>
        <color rgb="FF808080"/>
        <rFont val="Arial"/>
        <family val="0"/>
        <charset val="1"/>
      </rPr>
      <t xml:space="preserve">1</t>
    </r>
    <r>
      <rPr>
        <i val="true"/>
        <sz val="8"/>
        <color rgb="FF808080"/>
        <rFont val="Noto Sans CJK SC"/>
        <family val="2"/>
      </rPr>
      <t xml:space="preserve">回転</t>
    </r>
    <r>
      <rPr>
        <i val="true"/>
        <sz val="8"/>
        <color rgb="FF808080"/>
        <rFont val="Arial"/>
        <family val="0"/>
        <charset val="1"/>
      </rPr>
      <t xml:space="preserve">=1.0</t>
    </r>
    <r>
      <rPr>
        <i val="true"/>
        <sz val="8"/>
        <color rgb="FF808080"/>
        <rFont val="Noto Sans CJK SC"/>
        <family val="2"/>
      </rPr>
      <t xml:space="preserve">。</t>
    </r>
    <r>
      <rPr>
        <i val="true"/>
        <sz val="8"/>
        <color rgb="FF808080"/>
        <rFont val="Arial"/>
        <family val="0"/>
        <charset val="1"/>
      </rPr>
      <t xml:space="preserve">100</t>
    </r>
    <r>
      <rPr>
        <i val="true"/>
        <sz val="8"/>
        <color rgb="FF808080"/>
        <rFont val="Noto Sans CJK SC"/>
        <family val="2"/>
      </rPr>
      <t xml:space="preserve">㎡飲食の現実的上限は</t>
    </r>
    <r>
      <rPr>
        <i val="true"/>
        <sz val="8"/>
        <color rgb="FF808080"/>
        <rFont val="Arial"/>
        <family val="0"/>
        <charset val="1"/>
      </rPr>
      <t xml:space="preserve">1.8</t>
    </r>
    <r>
      <rPr>
        <i val="true"/>
        <sz val="8"/>
        <color rgb="FF808080"/>
        <rFont val="Noto Sans CJK SC"/>
        <family val="2"/>
      </rPr>
      <t xml:space="preserve">前後</t>
    </r>
  </si>
  <si>
    <t xml:space="preserve">（席稼働は回転数に内包）</t>
  </si>
  <si>
    <t xml:space="preserve">二重カウント回避のため稼働率は回転数に統合（1.0固定・編集不要）</t>
  </si>
  <si>
    <t xml:space="preserve">冬季 飲食売上</t>
  </si>
  <si>
    <t xml:space="preserve">業態別トップラインシートから連動(実績ピーク月商×ニセコ冬係数)</t>
  </si>
  <si>
    <t xml:space="preserve">通年パンケーキ 追加売上</t>
  </si>
  <si>
    <t xml:space="preserve">ご提示：4/1〜11/30で0.5億。通年営業で人材確保</t>
  </si>
  <si>
    <t xml:space="preserve">飲食 年間総売上</t>
  </si>
  <si>
    <t xml:space="preserve">元計画の2.5〜3.0億は強気列に対応</t>
  </si>
  <si>
    <t xml:space="preserve">費用前提（対売上比）</t>
  </si>
  <si>
    <t xml:space="preserve">原価率（食材）</t>
  </si>
  <si>
    <r>
      <rPr>
        <i val="true"/>
        <sz val="8"/>
        <color rgb="FF808080"/>
        <rFont val="Arial"/>
        <family val="0"/>
        <charset val="1"/>
      </rPr>
      <t xml:space="preserve">AP</t>
    </r>
    <r>
      <rPr>
        <i val="true"/>
        <sz val="8"/>
        <color rgb="FF808080"/>
        <rFont val="Noto Sans CJK SC"/>
        <family val="2"/>
      </rPr>
      <t xml:space="preserve">実績</t>
    </r>
    <r>
      <rPr>
        <i val="true"/>
        <sz val="8"/>
        <color rgb="FF808080"/>
        <rFont val="Arial"/>
        <family val="0"/>
        <charset val="1"/>
      </rPr>
      <t xml:space="preserve">FL</t>
    </r>
    <r>
      <rPr>
        <i val="true"/>
        <sz val="8"/>
        <color rgb="FF808080"/>
        <rFont val="Noto Sans CJK SC"/>
        <family val="2"/>
      </rPr>
      <t xml:space="preserve">中央</t>
    </r>
    <r>
      <rPr>
        <i val="true"/>
        <sz val="8"/>
        <color rgb="FF808080"/>
        <rFont val="Arial"/>
        <family val="0"/>
        <charset val="1"/>
      </rPr>
      <t xml:space="preserve">59-63%/</t>
    </r>
    <r>
      <rPr>
        <i val="true"/>
        <sz val="8"/>
        <color rgb="FF808080"/>
        <rFont val="Noto Sans CJK SC"/>
        <family val="2"/>
      </rPr>
      <t xml:space="preserve">好立地</t>
    </r>
    <r>
      <rPr>
        <i val="true"/>
        <sz val="8"/>
        <color rgb="FF808080"/>
        <rFont val="Arial"/>
        <family val="0"/>
        <charset val="1"/>
      </rPr>
      <t xml:space="preserve">53-57%</t>
    </r>
    <r>
      <rPr>
        <i val="true"/>
        <sz val="8"/>
        <color rgb="FF808080"/>
        <rFont val="Noto Sans CJK SC"/>
        <family val="2"/>
      </rPr>
      <t xml:space="preserve">。原価はニセコ物流費上乗せ</t>
    </r>
  </si>
  <si>
    <t xml:space="preserve">人件費率</t>
  </si>
  <si>
    <r>
      <rPr>
        <i val="true"/>
        <sz val="8"/>
        <color rgb="FF808080"/>
        <rFont val="Arial"/>
        <family val="0"/>
        <charset val="1"/>
      </rPr>
      <t xml:space="preserve">AP</t>
    </r>
    <r>
      <rPr>
        <i val="true"/>
        <sz val="8"/>
        <color rgb="FF808080"/>
        <rFont val="Noto Sans CJK SC"/>
        <family val="2"/>
      </rPr>
      <t xml:space="preserve">実績人件費。ニセコ時給高騰を反映</t>
    </r>
  </si>
  <si>
    <t xml:space="preserve">賃料（MTRへ支払）</t>
  </si>
  <si>
    <t xml:space="preserve">固定。MTR収入と対応（万円・実額）</t>
  </si>
  <si>
    <t xml:space="preserve">水光熱・その他経費率</t>
  </si>
  <si>
    <t xml:space="preserve">ニセコプレミアム(物流/暖房/水光熱/募集)で本州標準より高め</t>
  </si>
  <si>
    <t xml:space="preserve">費用合計</t>
  </si>
  <si>
    <t xml:space="preserve">売上×(原価+人件+経費)＋賃料</t>
  </si>
  <si>
    <t xml:space="preserve">飲食 年間営業利益</t>
  </si>
  <si>
    <t xml:space="preserve">営業利益率</t>
  </si>
  <si>
    <t xml:space="preserve">元計画15%は強気。標準8〜12%が現実的</t>
  </si>
  <si>
    <t xml:space="preserve">飲食投資 回収年数</t>
  </si>
  <si>
    <r>
      <rPr>
        <i val="true"/>
        <sz val="8"/>
        <color rgb="FF808080"/>
        <rFont val="Arial"/>
        <family val="0"/>
        <charset val="1"/>
      </rPr>
      <t xml:space="preserve">AP</t>
    </r>
    <r>
      <rPr>
        <i val="true"/>
        <sz val="8"/>
        <color rgb="FF808080"/>
        <rFont val="Noto Sans CJK SC"/>
        <family val="2"/>
      </rPr>
      <t xml:space="preserve">投資</t>
    </r>
    <r>
      <rPr>
        <i val="true"/>
        <sz val="8"/>
        <color rgb="FF808080"/>
        <rFont val="Arial"/>
        <family val="0"/>
        <charset val="1"/>
      </rPr>
      <t xml:space="preserve">÷</t>
    </r>
    <r>
      <rPr>
        <i val="true"/>
        <sz val="8"/>
        <color rgb="FF808080"/>
        <rFont val="Noto Sans CJK SC"/>
        <family val="2"/>
      </rPr>
      <t xml:space="preserve">飲食営業利益</t>
    </r>
  </si>
  <si>
    <t xml:space="preserve">【FLR管理指標】飲食の生命線</t>
  </si>
  <si>
    <r>
      <rPr>
        <i val="true"/>
        <sz val="8"/>
        <color rgb="FF808080"/>
        <rFont val="Arial"/>
        <family val="0"/>
        <charset val="1"/>
      </rPr>
      <t xml:space="preserve">FLR=Food+Labor+Rent</t>
    </r>
    <r>
      <rPr>
        <i val="true"/>
        <sz val="8"/>
        <color rgb="FF808080"/>
        <rFont val="Noto Sans CJK SC"/>
        <family val="2"/>
      </rPr>
      <t xml:space="preserve">。飲食店の収益性を診断する業界標準指標</t>
    </r>
  </si>
  <si>
    <r>
      <rPr>
        <sz val="10"/>
        <color rgb="FF000000"/>
        <rFont val="Arial"/>
        <family val="0"/>
        <charset val="1"/>
      </rPr>
      <t xml:space="preserve">F</t>
    </r>
    <r>
      <rPr>
        <sz val="10"/>
        <color rgb="FF000000"/>
        <rFont val="Noto Sans CJK SC"/>
        <family val="2"/>
      </rPr>
      <t xml:space="preserve">：食材原価（実額）</t>
    </r>
  </si>
  <si>
    <t xml:space="preserve">売上×原価率</t>
  </si>
  <si>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：人件費（実額）</t>
    </r>
  </si>
  <si>
    <t xml:space="preserve">売上×人件費率。人件費積上シートで検証</t>
  </si>
  <si>
    <r>
      <rPr>
        <sz val="10"/>
        <color rgb="FF000000"/>
        <rFont val="Arial"/>
        <family val="0"/>
        <charset val="1"/>
      </rPr>
      <t xml:space="preserve">R</t>
    </r>
    <r>
      <rPr>
        <sz val="10"/>
        <color rgb="FF000000"/>
        <rFont val="Noto Sans CJK SC"/>
        <family val="2"/>
      </rPr>
      <t xml:space="preserve">：家賃（実額）</t>
    </r>
  </si>
  <si>
    <r>
      <rPr>
        <i val="true"/>
        <sz val="8"/>
        <color rgb="FF808080"/>
        <rFont val="Arial"/>
        <family val="0"/>
        <charset val="1"/>
      </rPr>
      <t xml:space="preserve">MTR</t>
    </r>
    <r>
      <rPr>
        <i val="true"/>
        <sz val="8"/>
        <color rgb="FF808080"/>
        <rFont val="Noto Sans CJK SC"/>
        <family val="2"/>
      </rPr>
      <t xml:space="preserve">への支払賃料 年</t>
    </r>
    <r>
      <rPr>
        <i val="true"/>
        <sz val="8"/>
        <color rgb="FF808080"/>
        <rFont val="Arial"/>
        <family val="0"/>
        <charset val="1"/>
      </rPr>
      <t xml:space="preserve">1,200</t>
    </r>
    <r>
      <rPr>
        <i val="true"/>
        <sz val="8"/>
        <color rgb="FF808080"/>
        <rFont val="Noto Sans CJK SC"/>
        <family val="2"/>
      </rPr>
      <t xml:space="preserve">万</t>
    </r>
  </si>
  <si>
    <r>
      <rPr>
        <sz val="10"/>
        <color rgb="FF000000"/>
        <rFont val="Arial"/>
        <family val="0"/>
        <charset val="1"/>
      </rPr>
      <t xml:space="preserve">F</t>
    </r>
    <r>
      <rPr>
        <sz val="10"/>
        <color rgb="FF000000"/>
        <rFont val="Noto Sans CJK SC"/>
        <family val="2"/>
      </rPr>
      <t xml:space="preserve">比率（原価率）</t>
    </r>
  </si>
  <si>
    <t xml:space="preserve">目安30%以下が優良。飲食標準は30〜35%</t>
  </si>
  <si>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比率（人件費率）</t>
    </r>
  </si>
  <si>
    <t xml:space="preserve">目安30%以下。ニセコは時給高騰で高め</t>
  </si>
  <si>
    <r>
      <rPr>
        <sz val="10"/>
        <color rgb="FF000000"/>
        <rFont val="Arial"/>
        <family val="0"/>
        <charset val="1"/>
      </rPr>
      <t xml:space="preserve">R</t>
    </r>
    <r>
      <rPr>
        <sz val="10"/>
        <color rgb="FF000000"/>
        <rFont val="Noto Sans CJK SC"/>
        <family val="2"/>
      </rPr>
      <t xml:space="preserve">比率（家賃比率）</t>
    </r>
  </si>
  <si>
    <t xml:space="preserve">目安10%以下が理想。売上拡大で低下</t>
  </si>
  <si>
    <r>
      <rPr>
        <b val="true"/>
        <sz val="10"/>
        <color rgb="FF000000"/>
        <rFont val="Arial"/>
        <family val="0"/>
        <charset val="1"/>
      </rPr>
      <t xml:space="preserve">FL</t>
    </r>
    <r>
      <rPr>
        <b val="true"/>
        <sz val="10"/>
        <color rgb="FF000000"/>
        <rFont val="Noto Sans CJK SC"/>
        <family val="2"/>
      </rPr>
      <t xml:space="preserve">比率（</t>
    </r>
    <r>
      <rPr>
        <b val="true"/>
        <sz val="10"/>
        <color rgb="FF000000"/>
        <rFont val="Arial"/>
        <family val="0"/>
        <charset val="1"/>
      </rPr>
      <t xml:space="preserve">F</t>
    </r>
    <r>
      <rPr>
        <b val="true"/>
        <sz val="10"/>
        <color rgb="FF000000"/>
        <rFont val="Noto Sans CJK SC"/>
        <family val="2"/>
      </rPr>
      <t xml:space="preserve">＋</t>
    </r>
    <r>
      <rPr>
        <b val="true"/>
        <sz val="10"/>
        <color rgb="FF000000"/>
        <rFont val="Arial"/>
        <family val="0"/>
        <charset val="1"/>
      </rPr>
      <t xml:space="preserve">L</t>
    </r>
    <r>
      <rPr>
        <b val="true"/>
        <sz val="10"/>
        <color rgb="FF000000"/>
        <rFont val="Noto Sans CJK SC"/>
        <family val="2"/>
      </rPr>
      <t xml:space="preserve">）</t>
    </r>
  </si>
  <si>
    <t xml:space="preserve">★最重要。60%以下が健全、55%以下が優良、65%超は赤信号</t>
  </si>
  <si>
    <r>
      <rPr>
        <b val="true"/>
        <sz val="10"/>
        <color rgb="FF000000"/>
        <rFont val="Arial"/>
        <family val="0"/>
        <charset val="1"/>
      </rPr>
      <t xml:space="preserve">FLR</t>
    </r>
    <r>
      <rPr>
        <b val="true"/>
        <sz val="10"/>
        <color rgb="FF000000"/>
        <rFont val="Noto Sans CJK SC"/>
        <family val="2"/>
      </rPr>
      <t xml:space="preserve">比率（</t>
    </r>
    <r>
      <rPr>
        <b val="true"/>
        <sz val="10"/>
        <color rgb="FF000000"/>
        <rFont val="Arial"/>
        <family val="0"/>
        <charset val="1"/>
      </rPr>
      <t xml:space="preserve">F</t>
    </r>
    <r>
      <rPr>
        <b val="true"/>
        <sz val="10"/>
        <color rgb="FF000000"/>
        <rFont val="Noto Sans CJK SC"/>
        <family val="2"/>
      </rPr>
      <t xml:space="preserve">＋</t>
    </r>
    <r>
      <rPr>
        <b val="true"/>
        <sz val="10"/>
        <color rgb="FF000000"/>
        <rFont val="Arial"/>
        <family val="0"/>
        <charset val="1"/>
      </rPr>
      <t xml:space="preserve">L</t>
    </r>
    <r>
      <rPr>
        <b val="true"/>
        <sz val="10"/>
        <color rgb="FF000000"/>
        <rFont val="Noto Sans CJK SC"/>
        <family val="2"/>
      </rPr>
      <t xml:space="preserve">＋</t>
    </r>
    <r>
      <rPr>
        <b val="true"/>
        <sz val="10"/>
        <color rgb="FF000000"/>
        <rFont val="Arial"/>
        <family val="0"/>
        <charset val="1"/>
      </rPr>
      <t xml:space="preserve">R</t>
    </r>
    <r>
      <rPr>
        <b val="true"/>
        <sz val="10"/>
        <color rgb="FF000000"/>
        <rFont val="Noto Sans CJK SC"/>
        <family val="2"/>
      </rPr>
      <t xml:space="preserve">）</t>
    </r>
  </si>
  <si>
    <r>
      <rPr>
        <i val="true"/>
        <sz val="8"/>
        <color rgb="FF808080"/>
        <rFont val="Arial"/>
        <family val="0"/>
        <charset val="1"/>
      </rPr>
      <t xml:space="preserve">70%</t>
    </r>
    <r>
      <rPr>
        <i val="true"/>
        <sz val="8"/>
        <color rgb="FF808080"/>
        <rFont val="Noto Sans CJK SC"/>
        <family val="2"/>
      </rPr>
      <t xml:space="preserve">以下が健全。残り＝経費＋利益の原資</t>
    </r>
  </si>
  <si>
    <r>
      <rPr>
        <b val="true"/>
        <sz val="10"/>
        <color rgb="FF000000"/>
        <rFont val="Arial"/>
        <family val="0"/>
        <charset val="1"/>
      </rPr>
      <t xml:space="preserve">FL</t>
    </r>
    <r>
      <rPr>
        <b val="true"/>
        <sz val="10"/>
        <color rgb="FF000000"/>
        <rFont val="Noto Sans CJK SC"/>
        <family val="2"/>
      </rPr>
      <t xml:space="preserve">比率 健全性判定</t>
    </r>
  </si>
  <si>
    <r>
      <rPr>
        <i val="true"/>
        <sz val="8"/>
        <color rgb="FF808080"/>
        <rFont val="Arial"/>
        <family val="0"/>
        <charset val="1"/>
      </rPr>
      <t xml:space="preserve">FL</t>
    </r>
    <r>
      <rPr>
        <i val="true"/>
        <sz val="8"/>
        <color rgb="FF808080"/>
        <rFont val="Noto Sans CJK SC"/>
        <family val="2"/>
      </rPr>
      <t xml:space="preserve">比率からの自動診断</t>
    </r>
  </si>
  <si>
    <r>
      <rPr>
        <b val="true"/>
        <sz val="10"/>
        <color rgb="FF000000"/>
        <rFont val="Arial"/>
        <family val="0"/>
        <charset val="1"/>
      </rPr>
      <t xml:space="preserve">FLR</t>
    </r>
    <r>
      <rPr>
        <b val="true"/>
        <sz val="10"/>
        <color rgb="FF000000"/>
        <rFont val="Noto Sans CJK SC"/>
        <family val="2"/>
      </rPr>
      <t xml:space="preserve">比率 健全性判定</t>
    </r>
  </si>
  <si>
    <r>
      <rPr>
        <i val="true"/>
        <sz val="8"/>
        <color rgb="FF808080"/>
        <rFont val="Arial"/>
        <family val="0"/>
        <charset val="1"/>
      </rPr>
      <t xml:space="preserve">FLR</t>
    </r>
    <r>
      <rPr>
        <i val="true"/>
        <sz val="8"/>
        <color rgb="FF808080"/>
        <rFont val="Noto Sans CJK SC"/>
        <family val="2"/>
      </rPr>
      <t xml:space="preserve">比率からの自動診断</t>
    </r>
  </si>
  <si>
    <t xml:space="preserve">※ニセコは人件費・家賃ともに高く、FL比率は本州の地方店より高くなりやすい。標準シナリオで60%前後＝『健全』ラインを死守できるかが成否を分ける。L比率の妥当性は『人件費積上』シートで検証。</t>
  </si>
  <si>
    <t xml:space="preserve">宿泊施設タイプ比較（トレーラーハウス vs 代替案）</t>
  </si>
  <si>
    <t xml:space="preserve">ニセコ＝豪雪地・冬主体。冬に強く税務有利なトレーラーハウスが最適という結論の根拠</t>
  </si>
  <si>
    <t xml:space="preserve">比較項目</t>
  </si>
  <si>
    <t xml:space="preserve">トレーラーハウス
(車両扱い)</t>
  </si>
  <si>
    <t xml:space="preserve">木造コテージ
(建築物)</t>
  </si>
  <si>
    <t xml:space="preserve">ドームテント
(グランピング)</t>
  </si>
  <si>
    <t xml:space="preserve">ユニットハウス
(コンテナ)</t>
  </si>
  <si>
    <t xml:space="preserve">初期費用（1棟）</t>
  </si>
  <si>
    <r>
      <rPr>
        <sz val="10"/>
        <color rgb="FF000000"/>
        <rFont val="Arial"/>
        <family val="0"/>
        <charset val="1"/>
      </rPr>
      <t xml:space="preserve">800</t>
    </r>
    <r>
      <rPr>
        <sz val="10"/>
        <color rgb="FF000000"/>
        <rFont val="Noto Sans CJK SC"/>
        <family val="2"/>
      </rPr>
      <t xml:space="preserve">〜</t>
    </r>
    <r>
      <rPr>
        <sz val="10"/>
        <color rgb="FF000000"/>
        <rFont val="Arial"/>
        <family val="0"/>
        <charset val="1"/>
      </rPr>
      <t xml:space="preserve">1,500</t>
    </r>
    <r>
      <rPr>
        <sz val="10"/>
        <color rgb="FF000000"/>
        <rFont val="Noto Sans CJK SC"/>
        <family val="2"/>
      </rPr>
      <t xml:space="preserve">万</t>
    </r>
  </si>
  <si>
    <r>
      <rPr>
        <sz val="10"/>
        <color rgb="FF000000"/>
        <rFont val="Arial"/>
        <family val="0"/>
        <charset val="1"/>
      </rPr>
      <t xml:space="preserve">1,500</t>
    </r>
    <r>
      <rPr>
        <sz val="10"/>
        <color rgb="FF000000"/>
        <rFont val="Noto Sans CJK SC"/>
        <family val="2"/>
      </rPr>
      <t xml:space="preserve">〜</t>
    </r>
    <r>
      <rPr>
        <sz val="10"/>
        <color rgb="FF000000"/>
        <rFont val="Arial"/>
        <family val="0"/>
        <charset val="1"/>
      </rPr>
      <t xml:space="preserve">3,000</t>
    </r>
    <r>
      <rPr>
        <sz val="10"/>
        <color rgb="FF000000"/>
        <rFont val="Noto Sans CJK SC"/>
        <family val="2"/>
      </rPr>
      <t xml:space="preserve">万</t>
    </r>
  </si>
  <si>
    <r>
      <rPr>
        <sz val="10"/>
        <color rgb="FF000000"/>
        <rFont val="Arial"/>
        <family val="0"/>
        <charset val="1"/>
      </rPr>
      <t xml:space="preserve">250</t>
    </r>
    <r>
      <rPr>
        <sz val="10"/>
        <color rgb="FF000000"/>
        <rFont val="Noto Sans CJK SC"/>
        <family val="2"/>
      </rPr>
      <t xml:space="preserve">〜</t>
    </r>
    <r>
      <rPr>
        <sz val="10"/>
        <color rgb="FF000000"/>
        <rFont val="Arial"/>
        <family val="0"/>
        <charset val="1"/>
      </rPr>
      <t xml:space="preserve">800</t>
    </r>
    <r>
      <rPr>
        <sz val="10"/>
        <color rgb="FF000000"/>
        <rFont val="Noto Sans CJK SC"/>
        <family val="2"/>
      </rPr>
      <t xml:space="preserve">万</t>
    </r>
  </si>
  <si>
    <r>
      <rPr>
        <sz val="10"/>
        <color rgb="FF000000"/>
        <rFont val="Arial"/>
        <family val="0"/>
        <charset val="1"/>
      </rPr>
      <t xml:space="preserve">500</t>
    </r>
    <r>
      <rPr>
        <sz val="10"/>
        <color rgb="FF000000"/>
        <rFont val="Noto Sans CJK SC"/>
        <family val="2"/>
      </rPr>
      <t xml:space="preserve">〜</t>
    </r>
    <r>
      <rPr>
        <sz val="10"/>
        <color rgb="FF000000"/>
        <rFont val="Arial"/>
        <family val="0"/>
        <charset val="1"/>
      </rPr>
      <t xml:space="preserve">1,200</t>
    </r>
    <r>
      <rPr>
        <sz val="10"/>
        <color rgb="FF000000"/>
        <rFont val="Noto Sans CJK SC"/>
        <family val="2"/>
      </rPr>
      <t xml:space="preserve">万</t>
    </r>
  </si>
  <si>
    <t xml:space="preserve">不動産取得税</t>
  </si>
  <si>
    <t xml:space="preserve">なし</t>
  </si>
  <si>
    <t xml:space="preserve">課税(評価×3%)</t>
  </si>
  <si>
    <t xml:space="preserve">原則なし</t>
  </si>
  <si>
    <t xml:space="preserve">なし〜少</t>
  </si>
  <si>
    <t xml:space="preserve">建物固定資産税</t>
  </si>
  <si>
    <t xml:space="preserve">なし(償却資産税)</t>
  </si>
  <si>
    <t xml:space="preserve">毎年(評価×1.4%)</t>
  </si>
  <si>
    <t xml:space="preserve">基礎のみ対象</t>
  </si>
  <si>
    <t xml:space="preserve">法定耐用年数</t>
  </si>
  <si>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Noto Sans CJK SC"/>
        <family val="2"/>
      </rPr>
      <t xml:space="preserve">年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早期償却◎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</si>
  <si>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Arial"/>
        <family val="0"/>
        <charset val="1"/>
      </rPr>
      <t xml:space="preserve">22</t>
    </r>
    <r>
      <rPr>
        <sz val="10"/>
        <color rgb="FF000000"/>
        <rFont val="Noto Sans CJK SC"/>
        <family val="2"/>
      </rPr>
      <t xml:space="preserve">年</t>
    </r>
  </si>
  <si>
    <t xml:space="preserve">短い</t>
  </si>
  <si>
    <t xml:space="preserve">建築確認</t>
  </si>
  <si>
    <t xml:space="preserve">原則不要※</t>
  </si>
  <si>
    <t xml:space="preserve">必要</t>
  </si>
  <si>
    <t xml:space="preserve">通りにくい</t>
  </si>
  <si>
    <t xml:space="preserve">豪雪地・冬季適性</t>
  </si>
  <si>
    <t xml:space="preserve">◎ 断熱施工可</t>
  </si>
  <si>
    <t xml:space="preserve">◎ 最も堅牢</t>
  </si>
  <si>
    <t xml:space="preserve">△ 積雪・暖房難</t>
  </si>
  <si>
    <t xml:space="preserve">○ 断熱次第</t>
  </si>
  <si>
    <t xml:space="preserve">設置スピード</t>
  </si>
  <si>
    <t xml:space="preserve">◎ 速い</t>
  </si>
  <si>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工期長い</t>
    </r>
  </si>
  <si>
    <t xml:space="preserve">○</t>
  </si>
  <si>
    <t xml:space="preserve">民泊単価の取りやすさ</t>
  </si>
  <si>
    <t xml:space="preserve">○〜◎</t>
  </si>
  <si>
    <t xml:space="preserve">◎ 高級感</t>
  </si>
  <si>
    <r>
      <rPr>
        <sz val="10"/>
        <color rgb="FF000000"/>
        <rFont val="Arial"/>
        <family val="0"/>
        <charset val="1"/>
      </rPr>
      <t xml:space="preserve">○ SNS</t>
    </r>
    <r>
      <rPr>
        <sz val="10"/>
        <color rgb="FF000000"/>
        <rFont val="Noto Sans CJK SC"/>
        <family val="2"/>
      </rPr>
      <t xml:space="preserve">映え</t>
    </r>
  </si>
  <si>
    <t xml:space="preserve">△ 無機質</t>
  </si>
  <si>
    <t xml:space="preserve">移設・撤退の容易さ</t>
  </si>
  <si>
    <t xml:space="preserve">◎</t>
  </si>
  <si>
    <t xml:space="preserve">×</t>
  </si>
  <si>
    <t xml:space="preserve">ニセコでの推奨度</t>
  </si>
  <si>
    <t xml:space="preserve">◎ 本命</t>
  </si>
  <si>
    <t xml:space="preserve">○ 高単価狙い</t>
  </si>
  <si>
    <t xml:space="preserve">△ 非推奨</t>
  </si>
  <si>
    <t xml:space="preserve">○ 予算重視</t>
  </si>
  <si>
    <t xml:space="preserve">※車両扱いの維持条件：①基礎に固定しない②いつでも移動可能③ライフラインが工具なしで着脱可能。タイヤ撤去や恒久固定で『建築物』判定→固定資産税・建築確認の対象に。最終判断は各自治体。</t>
  </si>
  <si>
    <t xml:space="preserve">税負担イメージ（1棟1,500万・事業用・10年保有）</t>
  </si>
  <si>
    <t xml:space="preserve">建物固定資産税(10年累計概算)</t>
  </si>
  <si>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万（車両扱い）</t>
    </r>
  </si>
  <si>
    <t xml:space="preserve">約150〜200万</t>
  </si>
  <si>
    <t xml:space="preserve">基礎分のみ</t>
  </si>
  <si>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〜少</t>
    </r>
  </si>
  <si>
    <t xml:space="preserve">→ トレハ2棟を車両扱いで運用すると、木造比で10年累計 約300〜400万円の固定資産税を回避。加えて4年償却で初期の節税効果が大きい。</t>
  </si>
  <si>
    <t xml:space="preserve">人件費 積み上げ試算（時給・人数・シフトから逆算）単位：万円</t>
  </si>
  <si>
    <r>
      <rPr>
        <i val="true"/>
        <sz val="8"/>
        <color rgb="FF808080"/>
        <rFont val="Arial"/>
        <family val="0"/>
        <charset val="1"/>
      </rPr>
      <t xml:space="preserve">AP</t>
    </r>
    <r>
      <rPr>
        <i val="true"/>
        <sz val="8"/>
        <color rgb="FF808080"/>
        <rFont val="Noto Sans CJK SC"/>
        <family val="2"/>
      </rPr>
      <t xml:space="preserve">飲食シートの『人件費率』が現実的かを検証する。冬季</t>
    </r>
    <r>
      <rPr>
        <i val="true"/>
        <sz val="8"/>
        <color rgb="FF808080"/>
        <rFont val="Arial"/>
        <family val="0"/>
        <charset val="1"/>
      </rPr>
      <t xml:space="preserve">110</t>
    </r>
    <r>
      <rPr>
        <i val="true"/>
        <sz val="8"/>
        <color rgb="FF808080"/>
        <rFont val="Noto Sans CJK SC"/>
        <family val="2"/>
      </rPr>
      <t xml:space="preserve">日＋通年パンケーキを分けて積算</t>
    </r>
  </si>
  <si>
    <t xml:space="preserve">冬季 飲食スタッフ（12/10〜3/31）</t>
  </si>
  <si>
    <t xml:space="preserve">パート時給（円）</t>
  </si>
  <si>
    <t xml:space="preserve">ニセコ飲食アルバイト1200円〜、冬季は割増。はなの舞倶知安1200円</t>
  </si>
  <si>
    <t xml:space="preserve">パート人数</t>
  </si>
  <si>
    <r>
      <rPr>
        <i val="true"/>
        <sz val="8"/>
        <color rgb="FF808080"/>
        <rFont val="Arial"/>
        <family val="0"/>
        <charset val="1"/>
      </rPr>
      <t xml:space="preserve">3</t>
    </r>
    <r>
      <rPr>
        <i val="true"/>
        <sz val="8"/>
        <color rgb="FF808080"/>
        <rFont val="Noto Sans CJK SC"/>
        <family val="2"/>
      </rPr>
      <t xml:space="preserve">業態の席数に応じたホール</t>
    </r>
    <r>
      <rPr>
        <i val="true"/>
        <sz val="8"/>
        <color rgb="FF808080"/>
        <rFont val="Arial"/>
        <family val="0"/>
        <charset val="1"/>
      </rPr>
      <t xml:space="preserve">+</t>
    </r>
    <r>
      <rPr>
        <i val="true"/>
        <sz val="8"/>
        <color rgb="FF808080"/>
        <rFont val="Noto Sans CJK SC"/>
        <family val="2"/>
      </rPr>
      <t xml:space="preserve">キッチン</t>
    </r>
  </si>
  <si>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日実働時間</t>
    </r>
  </si>
  <si>
    <t xml:space="preserve">夜営業中心</t>
  </si>
  <si>
    <t xml:space="preserve">冬営業日数</t>
  </si>
  <si>
    <t xml:space="preserve">冬季パート人件費</t>
  </si>
  <si>
    <t xml:space="preserve">時給×人数×時間×日数</t>
  </si>
  <si>
    <t xml:space="preserve">社員・幹部（通年雇用）</t>
  </si>
  <si>
    <t xml:space="preserve">社員人数</t>
  </si>
  <si>
    <t xml:space="preserve">各業態責任者＋総括。スカイニセコ調理年俸440〜540万</t>
  </si>
  <si>
    <t xml:space="preserve">社員 平均年俸（万円）</t>
  </si>
  <si>
    <t xml:space="preserve">ニセコ相場。SV級は490〜560万</t>
  </si>
  <si>
    <t xml:space="preserve">社員人件費</t>
  </si>
  <si>
    <t xml:space="preserve">人数×年俸</t>
  </si>
  <si>
    <t xml:space="preserve">通年パンケーキ スタッフ</t>
  </si>
  <si>
    <t xml:space="preserve">通年雇用で安定確保</t>
  </si>
  <si>
    <t xml:space="preserve">昼カフェ運営</t>
  </si>
  <si>
    <t xml:space="preserve">昼営業中心</t>
  </si>
  <si>
    <t xml:space="preserve">通年営業日数</t>
  </si>
  <si>
    <r>
      <rPr>
        <i val="true"/>
        <sz val="8"/>
        <color rgb="FF808080"/>
        <rFont val="Arial"/>
        <family val="0"/>
        <charset val="1"/>
      </rPr>
      <t xml:space="preserve">4/1</t>
    </r>
    <r>
      <rPr>
        <i val="true"/>
        <sz val="8"/>
        <color rgb="FF808080"/>
        <rFont val="Noto Sans CJK SC"/>
        <family val="2"/>
      </rPr>
      <t xml:space="preserve">〜</t>
    </r>
    <r>
      <rPr>
        <i val="true"/>
        <sz val="8"/>
        <color rgb="FF808080"/>
        <rFont val="Arial"/>
        <family val="0"/>
        <charset val="1"/>
      </rPr>
      <t xml:space="preserve">11/30</t>
    </r>
    <r>
      <rPr>
        <i val="true"/>
        <sz val="8"/>
        <color rgb="FF808080"/>
        <rFont val="Noto Sans CJK SC"/>
        <family val="2"/>
      </rPr>
      <t xml:space="preserve">＋冬の昼</t>
    </r>
  </si>
  <si>
    <t xml:space="preserve">パンケーキ人件費</t>
  </si>
  <si>
    <t xml:space="preserve">採用・寮費等 追加コスト</t>
  </si>
  <si>
    <t xml:space="preserve">リゾバ募集費・寮社宅・交通費。月給28万寮付求人が主流</t>
  </si>
  <si>
    <t xml:space="preserve">人件費 積上合計</t>
  </si>
  <si>
    <t xml:space="preserve">冬パート＋社員＋パンケーキ＋採用費</t>
  </si>
  <si>
    <t xml:space="preserve">積上人件費 ÷ 飲食売上</t>
  </si>
  <si>
    <t xml:space="preserve">この比率がAP飲食シートの人件費率と整合するか確認</t>
  </si>
  <si>
    <t xml:space="preserve">（参考）AP飲食シートの人件費率</t>
  </si>
  <si>
    <t xml:space="preserve">モデルで使用中の率。積上比率より高ければ安全側</t>
  </si>
  <si>
    <t xml:space="preserve">※積上の人件費率（実態）よりモデルの人件費率を高く置くことで、ニセコの人材難・割増・離職に伴う採用再コストをバッファとして織り込んでいる。積上比率がモデル率を上回ったら、その時点で計画は赤信号＝採用単価か席数を見直す。</t>
  </si>
  <si>
    <t xml:space="preserve">トップライン較正の根拠（APグループ181店 実績）</t>
  </si>
  <si>
    <r>
      <rPr>
        <i val="true"/>
        <sz val="8"/>
        <color rgb="FF808080"/>
        <rFont val="Arial"/>
        <family val="0"/>
        <charset val="1"/>
      </rPr>
      <t xml:space="preserve">FY25</t>
    </r>
    <r>
      <rPr>
        <i val="true"/>
        <sz val="8"/>
        <color rgb="FF808080"/>
        <rFont val="Noto Sans CJK SC"/>
        <family val="2"/>
      </rPr>
      <t xml:space="preserve">実績（提供データ：集計</t>
    </r>
    <r>
      <rPr>
        <i val="true"/>
        <sz val="8"/>
        <color rgb="FF808080"/>
        <rFont val="Arial"/>
        <family val="0"/>
        <charset val="1"/>
      </rPr>
      <t xml:space="preserve">_FY27</t>
    </r>
    <r>
      <rPr>
        <i val="true"/>
        <sz val="8"/>
        <color rgb="FF808080"/>
        <rFont val="Noto Sans CJK SC"/>
        <family val="2"/>
      </rPr>
      <t xml:space="preserve">予算策定）から業態別に年商・</t>
    </r>
    <r>
      <rPr>
        <i val="true"/>
        <sz val="8"/>
        <color rgb="FF808080"/>
        <rFont val="Arial"/>
        <family val="0"/>
        <charset val="1"/>
      </rPr>
      <t xml:space="preserve">FL</t>
    </r>
    <r>
      <rPr>
        <i val="true"/>
        <sz val="8"/>
        <color rgb="FF808080"/>
        <rFont val="Noto Sans CJK SC"/>
        <family val="2"/>
      </rPr>
      <t xml:space="preserve">比率・店舗利益率を抽出し、ニセコ計画のトップラインと費用率を較正</t>
    </r>
  </si>
  <si>
    <t xml:space="preserve">業態（実績店数）</t>
  </si>
  <si>
    <t xml:space="preserve">年商中央値</t>
  </si>
  <si>
    <r>
      <rPr>
        <b val="true"/>
        <sz val="11"/>
        <color rgb="FFFFFFFF"/>
        <rFont val="Arial"/>
        <family val="0"/>
        <charset val="1"/>
      </rPr>
      <t xml:space="preserve">FL</t>
    </r>
    <r>
      <rPr>
        <b val="true"/>
        <sz val="11"/>
        <color rgb="FFFFFFFF"/>
        <rFont val="Noto Sans CJK SC"/>
        <family val="2"/>
      </rPr>
      <t xml:space="preserve">比率中央</t>
    </r>
  </si>
  <si>
    <t xml:space="preserve">店舗利益率中央</t>
  </si>
  <si>
    <t xml:space="preserve">好立地トップ店</t>
  </si>
  <si>
    <t xml:space="preserve">好立地FL/利益</t>
  </si>
  <si>
    <t xml:space="preserve">焼鳥・塚田農場（74店）</t>
  </si>
  <si>
    <r>
      <rPr>
        <sz val="10"/>
        <color rgb="FF000000"/>
        <rFont val="Arial"/>
        <family val="0"/>
        <charset val="1"/>
      </rPr>
      <t xml:space="preserve">0.85</t>
    </r>
    <r>
      <rPr>
        <sz val="10"/>
        <color rgb="FF000000"/>
        <rFont val="Noto Sans CJK SC"/>
        <family val="2"/>
      </rPr>
      <t xml:space="preserve">億</t>
    </r>
  </si>
  <si>
    <t xml:space="preserve">59.1%</t>
  </si>
  <si>
    <t xml:space="preserve">10.2%</t>
  </si>
  <si>
    <t xml:space="preserve">新宿東口2.4億</t>
  </si>
  <si>
    <t xml:space="preserve">57.5%/21.4%</t>
  </si>
  <si>
    <t xml:space="preserve">しゃぶしゃぶ（3店）</t>
  </si>
  <si>
    <r>
      <rPr>
        <sz val="10"/>
        <color rgb="FF000000"/>
        <rFont val="Arial"/>
        <family val="0"/>
        <charset val="1"/>
      </rPr>
      <t xml:space="preserve">1.87</t>
    </r>
    <r>
      <rPr>
        <sz val="10"/>
        <color rgb="FF000000"/>
        <rFont val="Noto Sans CJK SC"/>
        <family val="2"/>
      </rPr>
      <t xml:space="preserve">億</t>
    </r>
  </si>
  <si>
    <t xml:space="preserve">54.2%</t>
  </si>
  <si>
    <t xml:space="preserve">11.9%</t>
  </si>
  <si>
    <t xml:space="preserve">渋谷4.0億</t>
  </si>
  <si>
    <t xml:space="preserve">50.1%/27.3%</t>
  </si>
  <si>
    <t xml:space="preserve">四十八漁場・居酒屋（14店）</t>
  </si>
  <si>
    <r>
      <rPr>
        <sz val="10"/>
        <color rgb="FF000000"/>
        <rFont val="Arial"/>
        <family val="0"/>
        <charset val="1"/>
      </rPr>
      <t xml:space="preserve">1.09</t>
    </r>
    <r>
      <rPr>
        <sz val="10"/>
        <color rgb="FF000000"/>
        <rFont val="Noto Sans CJK SC"/>
        <family val="2"/>
      </rPr>
      <t xml:space="preserve">億</t>
    </r>
  </si>
  <si>
    <t xml:space="preserve">63.4%</t>
  </si>
  <si>
    <t xml:space="preserve">品川1.85億</t>
  </si>
  <si>
    <t xml:space="preserve">56.1%/24.0%</t>
  </si>
  <si>
    <t xml:space="preserve">寿司（10店）</t>
  </si>
  <si>
    <r>
      <rPr>
        <sz val="10"/>
        <color rgb="FF000000"/>
        <rFont val="Arial"/>
        <family val="0"/>
        <charset val="1"/>
      </rPr>
      <t xml:space="preserve">0.96</t>
    </r>
    <r>
      <rPr>
        <sz val="10"/>
        <color rgb="FF000000"/>
        <rFont val="Noto Sans CJK SC"/>
        <family val="2"/>
      </rPr>
      <t xml:space="preserve">億</t>
    </r>
  </si>
  <si>
    <t xml:space="preserve">63.5%</t>
  </si>
  <si>
    <t xml:space="preserve">11.8%</t>
  </si>
  <si>
    <t xml:space="preserve">新宿西口2.23億</t>
  </si>
  <si>
    <t xml:space="preserve">56.7%/28.0%</t>
  </si>
  <si>
    <t xml:space="preserve">全181店 平均</t>
  </si>
  <si>
    <r>
      <rPr>
        <sz val="10"/>
        <color rgb="FF000000"/>
        <rFont val="Arial"/>
        <family val="0"/>
        <charset val="1"/>
      </rPr>
      <t xml:space="preserve">1.31</t>
    </r>
    <r>
      <rPr>
        <sz val="10"/>
        <color rgb="FF000000"/>
        <rFont val="Noto Sans CJK SC"/>
        <family val="2"/>
      </rPr>
      <t xml:space="preserve">億</t>
    </r>
  </si>
  <si>
    <t xml:space="preserve">61.9%</t>
  </si>
  <si>
    <t xml:space="preserve">6.9%</t>
  </si>
  <si>
    <t xml:space="preserve">—</t>
  </si>
  <si>
    <t xml:space="preserve">ニセコ計画への較正ロジック</t>
  </si>
  <si>
    <t xml:space="preserve">① 売上：APの好立地店（FL53-57%・利益19-27%）をニセコの観光地集客モデルに対応づけ。ただし100㎡に3業態を詰める床制約で各業態の席数を圧縮し、冬110日集中で設定</t>
  </si>
  <si>
    <r>
      <rPr>
        <sz val="10"/>
        <color rgb="FF000000"/>
        <rFont val="Arial"/>
        <family val="0"/>
        <charset val="1"/>
      </rPr>
      <t xml:space="preserve">② FL</t>
    </r>
    <r>
      <rPr>
        <sz val="10"/>
        <color rgb="FF000000"/>
        <rFont val="Noto Sans CJK SC"/>
        <family val="2"/>
      </rPr>
      <t xml:space="preserve">比率：実績の中央</t>
    </r>
    <r>
      <rPr>
        <sz val="10"/>
        <color rgb="FF000000"/>
        <rFont val="Arial"/>
        <family val="0"/>
        <charset val="1"/>
      </rPr>
      <t xml:space="preserve">59-63%</t>
    </r>
    <r>
      <rPr>
        <sz val="10"/>
        <color rgb="FF000000"/>
        <rFont val="Noto Sans CJK SC"/>
        <family val="2"/>
      </rPr>
      <t xml:space="preserve">／好立地</t>
    </r>
    <r>
      <rPr>
        <sz val="10"/>
        <color rgb="FF000000"/>
        <rFont val="Arial"/>
        <family val="0"/>
        <charset val="1"/>
      </rPr>
      <t xml:space="preserve">53-57%</t>
    </r>
    <r>
      <rPr>
        <sz val="10"/>
        <color rgb="FF000000"/>
        <rFont val="Noto Sans CJK SC"/>
        <family val="2"/>
      </rPr>
      <t xml:space="preserve">を採用。保守</t>
    </r>
    <r>
      <rPr>
        <sz val="10"/>
        <color rgb="FF000000"/>
        <rFont val="Arial"/>
        <family val="0"/>
        <charset val="1"/>
      </rPr>
      <t xml:space="preserve">63%</t>
    </r>
    <r>
      <rPr>
        <sz val="10"/>
        <color rgb="FF000000"/>
        <rFont val="Noto Sans CJK SC"/>
        <family val="2"/>
      </rPr>
      <t xml:space="preserve">（中央上限）→標準</t>
    </r>
    <r>
      <rPr>
        <sz val="10"/>
        <color rgb="FF000000"/>
        <rFont val="Arial"/>
        <family val="0"/>
        <charset val="1"/>
      </rPr>
      <t xml:space="preserve">60%→</t>
    </r>
    <r>
      <rPr>
        <sz val="10"/>
        <color rgb="FF000000"/>
        <rFont val="Noto Sans CJK SC"/>
        <family val="2"/>
      </rPr>
      <t xml:space="preserve">強気</t>
    </r>
    <r>
      <rPr>
        <sz val="10"/>
        <color rgb="FF000000"/>
        <rFont val="Arial"/>
        <family val="0"/>
        <charset val="1"/>
      </rPr>
      <t xml:space="preserve">57%</t>
    </r>
    <r>
      <rPr>
        <sz val="10"/>
        <color rgb="FF000000"/>
        <rFont val="Noto Sans CJK SC"/>
        <family val="2"/>
      </rPr>
      <t xml:space="preserve">（好立地並み）</t>
    </r>
  </si>
  <si>
    <t xml:space="preserve">③ 営業利益率：実績の店舗利益率（中央10.4%・好立地20%超）の範囲内に。保守9%→標準16%→強気22%</t>
  </si>
  <si>
    <t xml:space="preserve">④ ニセコプレミアム：原価に物流費、経費に冬季暖房・水光熱・採用募集費を上乗せ（本州標準店より高コスト）</t>
  </si>
  <si>
    <t xml:space="preserve">⑤ 客単価：APの居酒屋実績（3,500-4,500円）をニセコ高単価環境で1.2万-1.6万円に補正（2-3万円コースも現地相場）</t>
  </si>
  <si>
    <t xml:space="preserve">【結論】較正前の元計画（売上2.5-3.0億・利益15%）は、AP実績の好立地店レベル＝当社の『強気』に相当。実績ベースで見ると標準シナリオ（売上2.4億・利益16%）が最も蓋然性が高く、保守（1.5億・利益9%）でも黒字を確保できる。FL比率が全シナリオで実績レンジ内に収まり、計画の現実性が実データで裏付けられた。</t>
  </si>
  <si>
    <t xml:space="preserve">業態別トップライン（AP実績の月商ピーク×ニセコ冬季密度で積上）単位:万円</t>
  </si>
  <si>
    <r>
      <rPr>
        <i val="true"/>
        <sz val="8"/>
        <color rgb="FF808080"/>
        <rFont val="Arial"/>
        <family val="0"/>
        <charset val="1"/>
      </rPr>
      <t xml:space="preserve">AP</t>
    </r>
    <r>
      <rPr>
        <i val="true"/>
        <sz val="8"/>
        <color rgb="FF808080"/>
        <rFont val="Noto Sans CJK SC"/>
        <family val="2"/>
      </rPr>
      <t xml:space="preserve">実績の季節性</t>
    </r>
    <r>
      <rPr>
        <i val="true"/>
        <sz val="8"/>
        <color rgb="FF808080"/>
        <rFont val="Arial"/>
        <family val="0"/>
        <charset val="1"/>
      </rPr>
      <t xml:space="preserve">: </t>
    </r>
    <r>
      <rPr>
        <i val="true"/>
        <sz val="8"/>
        <color rgb="FF808080"/>
        <rFont val="Noto Sans CJK SC"/>
        <family val="2"/>
      </rPr>
      <t xml:space="preserve">しゃぶしゃぶは冬偏重</t>
    </r>
    <r>
      <rPr>
        <i val="true"/>
        <sz val="8"/>
        <color rgb="FF808080"/>
        <rFont val="Arial"/>
        <family val="0"/>
        <charset val="1"/>
      </rPr>
      <t xml:space="preserve">(</t>
    </r>
    <r>
      <rPr>
        <i val="true"/>
        <sz val="8"/>
        <color rgb="FF808080"/>
        <rFont val="Noto Sans CJK SC"/>
        <family val="2"/>
      </rPr>
      <t xml:space="preserve">冬</t>
    </r>
    <r>
      <rPr>
        <i val="true"/>
        <sz val="8"/>
        <color rgb="FF808080"/>
        <rFont val="Arial"/>
        <family val="0"/>
        <charset val="1"/>
      </rPr>
      <t xml:space="preserve">3</t>
    </r>
    <r>
      <rPr>
        <i val="true"/>
        <sz val="8"/>
        <color rgb="FF808080"/>
        <rFont val="Noto Sans CJK SC"/>
        <family val="2"/>
      </rPr>
      <t xml:space="preserve">ヶ月</t>
    </r>
    <r>
      <rPr>
        <i val="true"/>
        <sz val="8"/>
        <color rgb="FF808080"/>
        <rFont val="Arial"/>
        <family val="0"/>
        <charset val="1"/>
      </rPr>
      <t xml:space="preserve">32%)</t>
    </r>
    <r>
      <rPr>
        <i val="true"/>
        <sz val="8"/>
        <color rgb="FF808080"/>
        <rFont val="Noto Sans CJK SC"/>
        <family val="2"/>
      </rPr>
      <t xml:space="preserve">で最もニセコ適性高。本州店は</t>
    </r>
    <r>
      <rPr>
        <i val="true"/>
        <sz val="8"/>
        <color rgb="FF808080"/>
        <rFont val="Arial"/>
        <family val="0"/>
        <charset val="1"/>
      </rPr>
      <t xml:space="preserve">12</t>
    </r>
    <r>
      <rPr>
        <i val="true"/>
        <sz val="8"/>
        <color rgb="FF808080"/>
        <rFont val="Noto Sans CJK SC"/>
        <family val="2"/>
      </rPr>
      <t xml:space="preserve">月ピーク通年平準だがニセコは冬一極集中のため冬季密度を割増</t>
    </r>
  </si>
  <si>
    <t xml:space="preserve">業態</t>
  </si>
  <si>
    <t xml:space="preserve">実績根拠・係数</t>
  </si>
  <si>
    <t xml:space="preserve">焼き鳥居酒屋</t>
  </si>
  <si>
    <t xml:space="preserve">塚田農場新宿東口級ピーク月商2800万。冬係数1.6</t>
  </si>
  <si>
    <t xml:space="preserve">しゃぶしゃぶ</t>
  </si>
  <si>
    <t xml:space="preserve">渋谷スクランブル級5000万。冬偏重で係数1.8最大</t>
  </si>
  <si>
    <t xml:space="preserve">ジンギスカン</t>
  </si>
  <si>
    <t xml:space="preserve">焼肉系月商1300万。冬係数1.7</t>
  </si>
  <si>
    <t xml:space="preserve">冬季3業態 合計</t>
  </si>
  <si>
    <t xml:space="preserve">通年パンケーキ(4-11月+冬昼)</t>
  </si>
  <si>
    <t xml:space="preserve">冬季偏重をヘッジする通年収入。夏グリーンシーズン需要</t>
  </si>
  <si>
    <t xml:space="preserve">元計画2.5-2.85億は標準に対応</t>
  </si>
  <si>
    <t xml:space="preserve">【季節性の補正根拠】AP実績の冬3ヶ月構成比: しゃぶしゃぶ32.3% / 焼鳥26.4% / 居酒屋26.6%。本州は12月ピークの通年平準型だが、ニセコは12-3月の100日に売上の7-8割が集中する冬一極型。よって本州ピーク月商に冬係数(1.6-1.8)を乗じ、110日(3.67ヶ月)分を冬季売上とした。しゃぶしゃぶは季節性・FL・利益率すべてで最強→業態を絞るならしゃぶしゃぶ軸を推奨。</t>
  </si>
  <si>
    <t xml:space="preserve">改装工事費 内訳（会長提示の実額ベース＋チームA補正）単位:円</t>
  </si>
  <si>
    <t xml:space="preserve">会長の過去経験による実額内訳。チームAが浄化槽増設・申請費の補正を加筆（赤字＝要追加計上）</t>
  </si>
  <si>
    <t xml:space="preserve">建築・内装工事</t>
  </si>
  <si>
    <t xml:space="preserve">地下 寿司・焼鳥改装</t>
  </si>
  <si>
    <r>
      <rPr>
        <i val="true"/>
        <sz val="8"/>
        <color rgb="FF808080"/>
        <rFont val="Arial"/>
        <family val="0"/>
        <charset val="1"/>
      </rPr>
      <t xml:space="preserve">AP</t>
    </r>
    <r>
      <rPr>
        <i val="true"/>
        <sz val="8"/>
        <color rgb="FF808080"/>
        <rFont val="Noto Sans CJK SC"/>
        <family val="2"/>
      </rPr>
      <t xml:space="preserve">実績</t>
    </r>
    <r>
      <rPr>
        <i val="true"/>
        <sz val="8"/>
        <color rgb="FF808080"/>
        <rFont val="Arial"/>
        <family val="0"/>
        <charset val="1"/>
      </rPr>
      <t xml:space="preserve">: </t>
    </r>
    <r>
      <rPr>
        <i val="true"/>
        <sz val="8"/>
        <color rgb="FF808080"/>
        <rFont val="Noto Sans CJK SC"/>
        <family val="2"/>
      </rPr>
      <t xml:space="preserve">焼鳥は塚田農場好立地</t>
    </r>
    <r>
      <rPr>
        <i val="true"/>
        <sz val="8"/>
        <color rgb="FF808080"/>
        <rFont val="Arial"/>
        <family val="0"/>
        <charset val="1"/>
      </rPr>
      <t xml:space="preserve">FL57%</t>
    </r>
    <r>
      <rPr>
        <i val="true"/>
        <sz val="8"/>
        <color rgb="FF808080"/>
        <rFont val="Noto Sans CJK SC"/>
        <family val="2"/>
      </rPr>
      <t xml:space="preserve">・利益</t>
    </r>
    <r>
      <rPr>
        <i val="true"/>
        <sz val="8"/>
        <color rgb="FF808080"/>
        <rFont val="Arial"/>
        <family val="0"/>
        <charset val="1"/>
      </rPr>
      <t xml:space="preserve">21%</t>
    </r>
  </si>
  <si>
    <t xml:space="preserve">地下 ジンギスカン改装</t>
  </si>
  <si>
    <t xml:space="preserve">左車庫スペース転用</t>
  </si>
  <si>
    <t xml:space="preserve">カフェ改装</t>
  </si>
  <si>
    <t xml:space="preserve">通年営業・人材つなぎ留めの要</t>
  </si>
  <si>
    <t xml:space="preserve">民泊客室改装</t>
  </si>
  <si>
    <r>
      <rPr>
        <i val="true"/>
        <sz val="8"/>
        <color rgb="FF808080"/>
        <rFont val="Arial"/>
        <family val="0"/>
        <charset val="1"/>
      </rPr>
      <t xml:space="preserve">2</t>
    </r>
    <r>
      <rPr>
        <i val="true"/>
        <sz val="8"/>
        <color rgb="FF808080"/>
        <rFont val="Noto Sans CJK SC"/>
        <family val="2"/>
      </rPr>
      <t xml:space="preserve">・</t>
    </r>
    <r>
      <rPr>
        <i val="true"/>
        <sz val="8"/>
        <color rgb="FF808080"/>
        <rFont val="Arial"/>
        <family val="0"/>
        <charset val="1"/>
      </rPr>
      <t xml:space="preserve">3</t>
    </r>
    <r>
      <rPr>
        <i val="true"/>
        <sz val="8"/>
        <color rgb="FF808080"/>
        <rFont val="Noto Sans CJK SC"/>
        <family val="2"/>
      </rPr>
      <t xml:space="preserve">階。ビレッジ至近の高単価民泊</t>
    </r>
  </si>
  <si>
    <t xml:space="preserve">リビング・共用部改装</t>
  </si>
  <si>
    <r>
      <rPr>
        <i val="true"/>
        <sz val="8"/>
        <color rgb="FF808080"/>
        <rFont val="Arial"/>
        <family val="0"/>
        <charset val="1"/>
      </rPr>
      <t xml:space="preserve">1</t>
    </r>
    <r>
      <rPr>
        <i val="true"/>
        <sz val="8"/>
        <color rgb="FF808080"/>
        <rFont val="Noto Sans CJK SC"/>
        <family val="2"/>
      </rPr>
      <t xml:space="preserve">棟貸しの付加価値</t>
    </r>
  </si>
  <si>
    <t xml:space="preserve">小計</t>
  </si>
  <si>
    <t xml:space="preserve">設備工事</t>
  </si>
  <si>
    <t xml:space="preserve">厨房設備（寿司・焼鳥）</t>
  </si>
  <si>
    <t xml:space="preserve">厨房設備（ジンギスカン）</t>
  </si>
  <si>
    <t xml:space="preserve">厨房設備（カフェ）</t>
  </si>
  <si>
    <t xml:space="preserve">空調・換気設備</t>
  </si>
  <si>
    <t xml:space="preserve">豪雪地の暖房負荷大</t>
  </si>
  <si>
    <t xml:space="preserve">給排水設備改修</t>
  </si>
  <si>
    <t xml:space="preserve">※浄化槽本体は下記に別計上</t>
  </si>
  <si>
    <t xml:space="preserve">電気設備改修</t>
  </si>
  <si>
    <t xml:space="preserve">サウナ・屋外施設</t>
  </si>
  <si>
    <t xml:space="preserve">サウナ棟新設</t>
  </si>
  <si>
    <t xml:space="preserve">ニセコ民泊の単価を跳ね上げる差別化。投資対効果大</t>
  </si>
  <si>
    <t xml:space="preserve">ジャグジー</t>
  </si>
  <si>
    <t xml:space="preserve">水風呂</t>
  </si>
  <si>
    <t xml:space="preserve">ウッドデッキ増築</t>
  </si>
  <si>
    <t xml:space="preserve">既存デッキ(図面)を拡張</t>
  </si>
  <si>
    <r>
      <rPr>
        <sz val="10"/>
        <color rgb="FF000000"/>
        <rFont val="Arial"/>
        <family val="0"/>
        <charset val="1"/>
      </rPr>
      <t xml:space="preserve">BBQ</t>
    </r>
    <r>
      <rPr>
        <sz val="10"/>
        <color rgb="FF000000"/>
        <rFont val="Noto Sans CJK SC"/>
        <family val="2"/>
      </rPr>
      <t xml:space="preserve">スペース</t>
    </r>
  </si>
  <si>
    <t xml:space="preserve">外構工事</t>
  </si>
  <si>
    <t xml:space="preserve">【チームA補正】法令対応の追加計上</t>
  </si>
  <si>
    <t xml:space="preserve">浄化槽 大幅増設</t>
  </si>
  <si>
    <t xml:space="preserve">飲食3業態+民泊で人槽算定が約100〜140人規模に。現状10人槽から増設必須。最大の見落とし</t>
  </si>
  <si>
    <t xml:space="preserve">用途変更・防火避難対応</t>
  </si>
  <si>
    <r>
      <rPr>
        <i val="true"/>
        <sz val="8"/>
        <color rgb="FF808080"/>
        <rFont val="Arial"/>
        <family val="0"/>
        <charset val="1"/>
      </rPr>
      <t xml:space="preserve">2</t>
    </r>
    <r>
      <rPr>
        <i val="true"/>
        <sz val="8"/>
        <color rgb="FF808080"/>
        <rFont val="Noto Sans CJK SC"/>
        <family val="2"/>
      </rPr>
      <t xml:space="preserve">・</t>
    </r>
    <r>
      <rPr>
        <i val="true"/>
        <sz val="8"/>
        <color rgb="FF808080"/>
        <rFont val="Arial"/>
        <family val="0"/>
        <charset val="1"/>
      </rPr>
      <t xml:space="preserve">3</t>
    </r>
    <r>
      <rPr>
        <i val="true"/>
        <sz val="8"/>
        <color rgb="FF808080"/>
        <rFont val="Noto Sans CJK SC"/>
        <family val="2"/>
      </rPr>
      <t xml:space="preserve">階を宿泊用途に。検査済証の用途に宿泊なし→用途変更</t>
    </r>
    <r>
      <rPr>
        <i val="true"/>
        <sz val="8"/>
        <color rgb="FF808080"/>
        <rFont val="Arial"/>
        <family val="0"/>
        <charset val="1"/>
      </rPr>
      <t xml:space="preserve">+</t>
    </r>
    <r>
      <rPr>
        <i val="true"/>
        <sz val="8"/>
        <color rgb="FF808080"/>
        <rFont val="Noto Sans CJK SC"/>
        <family val="2"/>
      </rPr>
      <t xml:space="preserve">避難設備</t>
    </r>
  </si>
  <si>
    <t xml:space="preserve">設計・申請費</t>
  </si>
  <si>
    <t xml:space="preserve">設計監理</t>
  </si>
  <si>
    <t xml:space="preserve">※用途変更含むと300〜500万に増の可能性</t>
  </si>
  <si>
    <t xml:space="preserve">消防・旅館業申請</t>
  </si>
  <si>
    <t xml:space="preserve">旅館業(簡易宿所)許可。冬100日稼働には必須</t>
  </si>
  <si>
    <t xml:space="preserve">予備費</t>
  </si>
  <si>
    <t xml:space="preserve">追加工事予備費</t>
  </si>
  <si>
    <t xml:space="preserve">改装工事 総額（補正後）</t>
  </si>
  <si>
    <t xml:space="preserve">会長提示1.2億＋浄化槽・用途変更1,700万=約1.37億</t>
  </si>
  <si>
    <t xml:space="preserve">（参考）会長提示の当初総額</t>
  </si>
  <si>
    <t xml:space="preserve">浄化槽・用途変更を除いた当初見積</t>
  </si>
  <si>
    <t xml:space="preserve">【けんた｜リスク】最重要: 浄化槽。検査済証の用途は『住宅・店舗・事務所』で宿泊なし。浄化槽は住宅前提の10人槽。飲食3業態+民泊への転用でJIS算定人員が約100〜140人規模に跳ね上がり、増設に1,000万円超かかる可能性。給排水改修400万では全く足りない。必ず別計上し、ニセコ町の浄化槽指導要綱・放流水質基準を事前確認すること。</t>
  </si>
  <si>
    <t xml:space="preserve">【なな｜数字】サウナ・屋外1,500万は秀逸な追加。ニセコ民泊の単価を跳ね上げる差別化で投資対効果が高い。民泊ADRの上振れ要因としてMTR収支に反映可能。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</si>
</sst>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;\(#,##0\);\-"/>
    <numFmt numFmtId="166" formatCode="0.0%"/>
    <numFmt numFmtId="167" formatCode="0.0\年"/>
    <numFmt numFmtId="168" formatCode="0"/>
    <numFmt numFmtId="169" formatCode="0.0"/>
    <numFmt numFmtId="170" formatCode="#,##0"/>
  </numFmts>
  <fonts count="2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Noto Sans CJK SC"/>
      <family val="2"/>
      <charset val="1"/>
    </font>
    <font>
      <i val="true"/>
      <sz val="8"/>
      <color rgb="FF808080"/>
      <name val="Arial"/>
      <family val="0"/>
      <charset val="1"/>
    </font>
    <font>
      <i val="true"/>
      <sz val="8"/>
      <color rgb="FF808080"/>
      <name val="Noto Sans CJK SC"/>
      <family val="2"/>
    </font>
    <font>
      <b val="true"/>
      <sz val="11"/>
      <color rgb="FFFFFFFF"/>
      <name val="Noto Sans CJK SC"/>
      <family val="2"/>
      <charset val="1"/>
    </font>
    <font>
      <b val="true"/>
      <sz val="10"/>
      <color rgb="FF000000"/>
      <name val="Noto Sans CJK SC"/>
      <family val="2"/>
      <charset val="1"/>
    </font>
    <font>
      <sz val="10"/>
      <color rgb="FF008000"/>
      <name val="Arial"/>
      <family val="0"/>
      <charset val="1"/>
    </font>
    <font>
      <i val="true"/>
      <sz val="8"/>
      <color rgb="FF808080"/>
      <name val="Noto Sans CJK SC"/>
      <family val="2"/>
      <charset val="1"/>
    </font>
    <font>
      <sz val="10"/>
      <color rgb="FF000000"/>
      <name val="Noto Sans CJK SC"/>
      <family val="2"/>
      <charset val="1"/>
    </font>
    <font>
      <sz val="10"/>
      <color rgb="FF000000"/>
      <name val="Arial"/>
      <family val="0"/>
      <charset val="1"/>
    </font>
    <font>
      <sz val="10"/>
      <color rgb="FF000000"/>
      <name val="Noto Sans CJK SC"/>
      <family val="2"/>
    </font>
    <font>
      <b val="true"/>
      <sz val="10"/>
      <color rgb="FF0000FF"/>
      <name val="Noto Sans CJK SC"/>
      <family val="2"/>
      <charset val="1"/>
    </font>
    <font>
      <b val="true"/>
      <sz val="10"/>
      <color rgb="FFC00000"/>
      <name val="Noto Sans CJK SC"/>
      <family val="2"/>
    </font>
    <font>
      <b val="true"/>
      <sz val="10"/>
      <color rgb="FFC0000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000000"/>
      <name val="Noto Sans CJK SC"/>
      <family val="2"/>
    </font>
    <font>
      <b val="true"/>
      <sz val="10"/>
      <color rgb="FFFFFFFF"/>
      <name val="Arial"/>
      <family val="0"/>
      <charset val="1"/>
    </font>
    <font>
      <i val="true"/>
      <sz val="8"/>
      <color rgb="FFFFFFFF"/>
      <name val="Noto Sans CJK SC"/>
      <family val="2"/>
      <charset val="1"/>
    </font>
    <font>
      <b val="true"/>
      <sz val="14"/>
      <color rgb="FFFFFFFF"/>
      <name val="Arial"/>
      <family val="0"/>
      <charset val="1"/>
    </font>
    <font>
      <b val="true"/>
      <sz val="14"/>
      <color rgb="FFFFFFFF"/>
      <name val="Noto Sans CJK SC"/>
      <family val="2"/>
    </font>
    <font>
      <b val="true"/>
      <sz val="11"/>
      <color rgb="FFFFFFFF"/>
      <name val="Arial"/>
      <family val="0"/>
      <charset val="1"/>
    </font>
    <font>
      <b val="true"/>
      <sz val="11"/>
      <color rgb="FFFFFFFF"/>
      <name val="Noto Sans CJK SC"/>
      <family val="2"/>
    </font>
    <font>
      <sz val="9"/>
      <color rgb="FF808080"/>
      <name val="Arial"/>
      <family val="0"/>
      <charset val="1"/>
    </font>
    <font>
      <b val="true"/>
      <sz val="13"/>
      <color rgb="FFFFFFFF"/>
      <name val="Noto Sans CJK SC"/>
      <family val="2"/>
      <charset val="1"/>
    </font>
    <font>
      <b val="true"/>
      <sz val="10"/>
      <color rgb="FFC00000"/>
      <name val="Noto Sans CJK SC"/>
      <family val="2"/>
      <charset val="1"/>
    </font>
  </fonts>
  <fills count="10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5496"/>
        <bgColor rgb="FF1F3864"/>
      </patternFill>
    </fill>
    <fill>
      <patternFill patternType="solid">
        <fgColor rgb="FFD6DCE4"/>
        <bgColor rgb="FFFCE4D6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  <fill>
      <patternFill patternType="solid">
        <fgColor rgb="FFFFFDE7"/>
        <bgColor rgb="FFFFFFFF"/>
      </patternFill>
    </fill>
    <fill>
      <patternFill patternType="solid">
        <fgColor rgb="FFF2F2F2"/>
        <bgColor rgb="FFFFFDE7"/>
      </patternFill>
    </fill>
    <fill>
      <patternFill patternType="solid">
        <fgColor rgb="FFC00000"/>
        <bgColor rgb="FF80000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2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2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4" fillId="5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0" fillId="5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3" borderId="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4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7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8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8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20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1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2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17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17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7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3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4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4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6" fontId="18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0" fontId="17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26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1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3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2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7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4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4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6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24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8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DE7"/>
      <rgbColor rgb="FFF2F2F2"/>
      <rgbColor rgb="FF660066"/>
      <rgbColor rgb="FFFF8080"/>
      <rgbColor rgb="FF0066CC"/>
      <rgbColor rgb="FFD6DCE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2CC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2E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3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30"/>
    <col collapsed="false" customWidth="true" hidden="false" outlineLevel="0" max="5" min="3" style="1" width="16"/>
    <col collapsed="false" customWidth="true" hidden="false" outlineLevel="0" max="6" min="6" style="1" width="3"/>
    <col collapsed="false" customWidth="true" hidden="false" outlineLevel="0" max="7" min="7" style="1" width="40"/>
  </cols>
  <sheetData>
    <row r="2" customFormat="false" ht="25.5" hidden="false" customHeight="true" outlineLevel="0" collapsed="false">
      <c r="B2" s="2" t="s">
        <v>0</v>
      </c>
      <c r="C2" s="2"/>
      <c r="D2" s="2"/>
      <c r="E2" s="2"/>
      <c r="F2" s="2"/>
      <c r="G2" s="2"/>
    </row>
    <row r="3" customFormat="false" ht="15" hidden="false" customHeight="true" outlineLevel="0" collapsed="false">
      <c r="B3" s="3" t="s">
        <v>1</v>
      </c>
      <c r="C3" s="3"/>
      <c r="D3" s="3"/>
      <c r="E3" s="3"/>
      <c r="F3" s="3"/>
      <c r="G3" s="3"/>
    </row>
    <row r="5" customFormat="false" ht="15" hidden="false" customHeight="true" outlineLevel="0" collapsed="false">
      <c r="B5" s="4" t="s">
        <v>2</v>
      </c>
      <c r="C5" s="5" t="s">
        <v>3</v>
      </c>
      <c r="D5" s="5" t="s">
        <v>4</v>
      </c>
      <c r="E5" s="5" t="s">
        <v>5</v>
      </c>
    </row>
    <row r="6" customFormat="false" ht="15" hidden="false" customHeight="true" outlineLevel="0" collapsed="false">
      <c r="B6" s="6" t="s">
        <v>6</v>
      </c>
      <c r="C6" s="7" t="n">
        <f aca="false">前提・投資!C19</f>
        <v>28400</v>
      </c>
      <c r="D6" s="7" t="n">
        <f aca="false">前提・投資!D19</f>
        <v>31700</v>
      </c>
      <c r="E6" s="7" t="n">
        <f aca="false">前提・投資!E19</f>
        <v>33400</v>
      </c>
      <c r="G6" s="8" t="s">
        <v>7</v>
      </c>
    </row>
    <row r="7" customFormat="false" ht="15" hidden="false" customHeight="true" outlineLevel="0" collapsed="false">
      <c r="B7" s="9" t="s">
        <v>8</v>
      </c>
      <c r="C7" s="7" t="n">
        <f aca="false">前提・投資!C11</f>
        <v>21400</v>
      </c>
      <c r="D7" s="7" t="n">
        <f aca="false">前提・投資!D11</f>
        <v>23355</v>
      </c>
      <c r="E7" s="7" t="n">
        <f aca="false">前提・投資!E11</f>
        <v>24000</v>
      </c>
      <c r="G7" s="8" t="s">
        <v>9</v>
      </c>
    </row>
    <row r="8" customFormat="false" ht="15" hidden="false" customHeight="true" outlineLevel="0" collapsed="false">
      <c r="B8" s="9" t="s">
        <v>10</v>
      </c>
      <c r="C8" s="7" t="n">
        <f aca="false">前提・投資!C17</f>
        <v>7000</v>
      </c>
      <c r="D8" s="7" t="n">
        <f aca="false">前提・投資!D17</f>
        <v>8345</v>
      </c>
      <c r="E8" s="7" t="n">
        <f aca="false">前提・投資!E17</f>
        <v>9400</v>
      </c>
      <c r="G8" s="10" t="s">
        <v>11</v>
      </c>
    </row>
    <row r="10" customFormat="false" ht="15" hidden="false" customHeight="true" outlineLevel="0" collapsed="false">
      <c r="B10" s="11" t="s">
        <v>12</v>
      </c>
      <c r="C10" s="7" t="n">
        <f aca="false">MTR収支!C24</f>
        <v>3097.5</v>
      </c>
      <c r="D10" s="7" t="n">
        <f aca="false">MTR収支!D24</f>
        <v>4530</v>
      </c>
      <c r="E10" s="7" t="n">
        <f aca="false">MTR収支!E24</f>
        <v>6802.5</v>
      </c>
      <c r="G10" s="8" t="s">
        <v>13</v>
      </c>
    </row>
    <row r="11" customFormat="false" ht="15" hidden="false" customHeight="true" outlineLevel="0" collapsed="false">
      <c r="B11" s="11" t="s">
        <v>14</v>
      </c>
      <c r="C11" s="7" t="n">
        <f aca="false">MTR収支!C32</f>
        <v>944.079545454546</v>
      </c>
      <c r="D11" s="7" t="n">
        <f aca="false">MTR収支!D32</f>
        <v>1514.38757575758</v>
      </c>
      <c r="E11" s="7" t="n">
        <f aca="false">MTR収支!E32</f>
        <v>3051.48939393939</v>
      </c>
      <c r="G11" s="8" t="s">
        <v>15</v>
      </c>
    </row>
    <row r="12" customFormat="false" ht="15" hidden="false" customHeight="true" outlineLevel="0" collapsed="false">
      <c r="B12" s="11" t="s">
        <v>16</v>
      </c>
      <c r="C12" s="12" t="n">
        <f aca="false">MTR収支!C34</f>
        <v>0.0441158666100255</v>
      </c>
      <c r="D12" s="12" t="n">
        <f aca="false">MTR収支!D34</f>
        <v>0.0648421141407654</v>
      </c>
      <c r="E12" s="12" t="n">
        <f aca="false">MTR収支!E34</f>
        <v>0.127145391414141</v>
      </c>
      <c r="G12" s="8" t="s">
        <v>17</v>
      </c>
    </row>
    <row r="14" customFormat="false" ht="15" hidden="false" customHeight="true" outlineLevel="0" collapsed="false">
      <c r="B14" s="11" t="s">
        <v>18</v>
      </c>
      <c r="C14" s="7" t="n">
        <f aca="false">AP飲食収支!C14</f>
        <v>18746</v>
      </c>
      <c r="D14" s="7" t="n">
        <f aca="false">AP飲食収支!D14</f>
        <v>24995</v>
      </c>
      <c r="E14" s="7" t="n">
        <f aca="false">AP飲食収支!E14</f>
        <v>33342</v>
      </c>
      <c r="G14" s="8" t="s">
        <v>19</v>
      </c>
    </row>
    <row r="15" customFormat="false" ht="15" hidden="false" customHeight="true" outlineLevel="0" collapsed="false">
      <c r="B15" s="11" t="s">
        <v>20</v>
      </c>
      <c r="C15" s="7" t="n">
        <f aca="false">AP飲食収支!C23</f>
        <v>1986.82</v>
      </c>
      <c r="D15" s="7" t="n">
        <f aca="false">AP飲食収支!D23</f>
        <v>4048.95</v>
      </c>
      <c r="E15" s="7" t="n">
        <f aca="false">AP飲食収支!E23</f>
        <v>7135.5</v>
      </c>
      <c r="G15" s="8" t="s">
        <v>21</v>
      </c>
    </row>
    <row r="16" customFormat="false" ht="15" hidden="false" customHeight="true" outlineLevel="0" collapsed="false">
      <c r="B16" s="11" t="s">
        <v>22</v>
      </c>
      <c r="C16" s="12" t="n">
        <f aca="false">AP飲食収支!C24</f>
        <v>0.105986343753334</v>
      </c>
      <c r="D16" s="12" t="n">
        <f aca="false">AP飲食収支!D24</f>
        <v>0.161990398079616</v>
      </c>
      <c r="E16" s="12" t="n">
        <f aca="false">AP飲食収支!E24</f>
        <v>0.214009357567033</v>
      </c>
      <c r="G16" s="10"/>
    </row>
    <row r="18" customFormat="false" ht="15" hidden="false" customHeight="true" outlineLevel="0" collapsed="false">
      <c r="B18" s="6" t="s">
        <v>23</v>
      </c>
      <c r="C18" s="13" t="n">
        <f aca="false">C11+C15</f>
        <v>2930.89954545455</v>
      </c>
      <c r="D18" s="13" t="n">
        <f aca="false">D11+D15</f>
        <v>5563.33757575758</v>
      </c>
      <c r="E18" s="13" t="n">
        <f aca="false">E11+E15</f>
        <v>10186.9893939394</v>
      </c>
      <c r="G18" s="10" t="s">
        <v>24</v>
      </c>
    </row>
    <row r="19" customFormat="false" ht="15" hidden="false" customHeight="true" outlineLevel="0" collapsed="false">
      <c r="B19" s="6" t="s">
        <v>25</v>
      </c>
      <c r="C19" s="14" t="n">
        <f aca="false">C6/C18</f>
        <v>9.68985786088944</v>
      </c>
      <c r="D19" s="14" t="n">
        <f aca="false">D6/D18</f>
        <v>5.69801842299374</v>
      </c>
      <c r="E19" s="14" t="n">
        <f aca="false">E6/E18</f>
        <v>3.278691938157</v>
      </c>
      <c r="G19" s="8" t="s">
        <v>26</v>
      </c>
    </row>
    <row r="21" customFormat="false" ht="15" hidden="false" customHeight="true" outlineLevel="0" collapsed="false">
      <c r="B21" s="15" t="s">
        <v>27</v>
      </c>
      <c r="C21" s="16" t="s">
        <v>28</v>
      </c>
      <c r="D21" s="16"/>
      <c r="E21" s="16"/>
      <c r="F21" s="16"/>
      <c r="G21" s="16"/>
    </row>
    <row r="23" customFormat="false" ht="15" hidden="false" customHeight="true" outlineLevel="0" collapsed="false">
      <c r="B23" s="4" t="s">
        <v>29</v>
      </c>
      <c r="C23" s="17"/>
      <c r="D23" s="17"/>
      <c r="E23" s="17"/>
      <c r="F23" s="17"/>
      <c r="G23" s="17"/>
    </row>
    <row r="24" customFormat="false" ht="18" hidden="false" customHeight="true" outlineLevel="0" collapsed="false">
      <c r="B24" s="18" t="s">
        <v>30</v>
      </c>
      <c r="C24" s="18"/>
      <c r="D24" s="18"/>
      <c r="E24" s="18"/>
      <c r="F24" s="18"/>
      <c r="G24" s="18"/>
    </row>
    <row r="25" customFormat="false" ht="18" hidden="false" customHeight="true" outlineLevel="0" collapsed="false">
      <c r="B25" s="18" t="s">
        <v>31</v>
      </c>
      <c r="C25" s="18"/>
      <c r="D25" s="18"/>
      <c r="E25" s="18"/>
      <c r="F25" s="18"/>
      <c r="G25" s="18"/>
    </row>
    <row r="26" customFormat="false" ht="18" hidden="false" customHeight="true" outlineLevel="0" collapsed="false">
      <c r="B26" s="18" t="s">
        <v>32</v>
      </c>
      <c r="C26" s="18"/>
      <c r="D26" s="18"/>
      <c r="E26" s="18"/>
      <c r="F26" s="18"/>
      <c r="G26" s="18"/>
    </row>
    <row r="27" customFormat="false" ht="18" hidden="false" customHeight="true" outlineLevel="0" collapsed="false">
      <c r="B27" s="18" t="s">
        <v>33</v>
      </c>
      <c r="C27" s="18"/>
      <c r="D27" s="18"/>
      <c r="E27" s="18"/>
      <c r="F27" s="18"/>
      <c r="G27" s="18"/>
    </row>
    <row r="28" customFormat="false" ht="18" hidden="false" customHeight="true" outlineLevel="0" collapsed="false">
      <c r="B28" s="18" t="s">
        <v>34</v>
      </c>
      <c r="C28" s="18"/>
      <c r="D28" s="18"/>
      <c r="E28" s="18"/>
      <c r="F28" s="18"/>
      <c r="G28" s="18"/>
    </row>
    <row r="30" customFormat="false" ht="72" hidden="false" customHeight="true" outlineLevel="0" collapsed="false">
      <c r="B30" s="19" t="s">
        <v>35</v>
      </c>
      <c r="C30" s="19"/>
      <c r="D30" s="19"/>
      <c r="E30" s="19"/>
      <c r="F30" s="19"/>
      <c r="G30" s="19"/>
    </row>
    <row r="32" customFormat="false" ht="91.5" hidden="false" customHeight="true" outlineLevel="0" collapsed="false">
      <c r="B32" s="20" t="s">
        <v>36</v>
      </c>
      <c r="C32" s="20"/>
      <c r="D32" s="20"/>
      <c r="E32" s="20"/>
      <c r="F32" s="20"/>
      <c r="G32" s="20"/>
    </row>
  </sheetData>
  <mergeCells count="11">
    <mergeCell ref="B2:G2"/>
    <mergeCell ref="B3:G3"/>
    <mergeCell ref="C21:G21"/>
    <mergeCell ref="C23:G23"/>
    <mergeCell ref="B24:G24"/>
    <mergeCell ref="B25:G25"/>
    <mergeCell ref="B26:G26"/>
    <mergeCell ref="B27:G27"/>
    <mergeCell ref="B28:G28"/>
    <mergeCell ref="B30:G30"/>
    <mergeCell ref="B32:G3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34"/>
    <col collapsed="false" customWidth="true" hidden="false" outlineLevel="0" max="5" min="3" style="1" width="14"/>
    <col collapsed="false" customWidth="true" hidden="false" outlineLevel="0" max="6" min="6" style="1" width="3"/>
    <col collapsed="false" customWidth="true" hidden="false" outlineLevel="0" max="7" min="7" style="1" width="46"/>
  </cols>
  <sheetData>
    <row r="2" customFormat="false" ht="24" hidden="false" customHeight="true" outlineLevel="0" collapsed="false">
      <c r="B2" s="2" t="s">
        <v>37</v>
      </c>
      <c r="C2" s="2"/>
      <c r="D2" s="2"/>
      <c r="E2" s="2"/>
      <c r="F2" s="2"/>
      <c r="G2" s="2"/>
    </row>
    <row r="4" customFormat="false" ht="15" hidden="false" customHeight="true" outlineLevel="0" collapsed="false">
      <c r="B4" s="4" t="s">
        <v>38</v>
      </c>
      <c r="C4" s="5" t="s">
        <v>3</v>
      </c>
      <c r="D4" s="5" t="s">
        <v>4</v>
      </c>
      <c r="E4" s="5" t="s">
        <v>5</v>
      </c>
      <c r="G4" s="4" t="s">
        <v>39</v>
      </c>
    </row>
    <row r="5" customFormat="false" ht="15" hidden="false" customHeight="true" outlineLevel="0" collapsed="false">
      <c r="B5" s="6" t="s">
        <v>40</v>
      </c>
      <c r="C5" s="21"/>
      <c r="D5" s="21"/>
      <c r="E5" s="21"/>
      <c r="G5" s="22"/>
    </row>
    <row r="6" customFormat="false" ht="24.75" hidden="false" customHeight="true" outlineLevel="0" collapsed="false">
      <c r="B6" s="9" t="s">
        <v>41</v>
      </c>
      <c r="C6" s="23" t="n">
        <v>13000</v>
      </c>
      <c r="D6" s="23" t="n">
        <v>13000</v>
      </c>
      <c r="E6" s="23" t="n">
        <v>13000</v>
      </c>
      <c r="G6" s="8" t="s">
        <v>42</v>
      </c>
    </row>
    <row r="7" customFormat="false" ht="15" hidden="false" customHeight="true" outlineLevel="0" collapsed="false">
      <c r="B7" s="9" t="s">
        <v>43</v>
      </c>
      <c r="C7" s="23" t="n">
        <v>1500</v>
      </c>
      <c r="D7" s="23" t="n">
        <v>2000</v>
      </c>
      <c r="E7" s="23" t="n">
        <v>2000</v>
      </c>
      <c r="G7" s="8" t="s">
        <v>44</v>
      </c>
    </row>
    <row r="8" customFormat="false" ht="15" hidden="false" customHeight="true" outlineLevel="0" collapsed="false">
      <c r="B8" s="9" t="s">
        <v>45</v>
      </c>
      <c r="C8" s="23" t="n">
        <v>1200</v>
      </c>
      <c r="D8" s="23" t="n">
        <v>1500</v>
      </c>
      <c r="E8" s="23" t="n">
        <v>1500</v>
      </c>
      <c r="G8" s="8" t="s">
        <v>46</v>
      </c>
    </row>
    <row r="9" customFormat="false" ht="15" hidden="false" customHeight="true" outlineLevel="0" collapsed="false">
      <c r="B9" s="9" t="s">
        <v>47</v>
      </c>
      <c r="C9" s="23" t="n">
        <v>1200</v>
      </c>
      <c r="D9" s="23" t="n">
        <v>1500</v>
      </c>
      <c r="E9" s="23" t="n">
        <v>1500</v>
      </c>
      <c r="G9" s="8" t="s">
        <v>48</v>
      </c>
    </row>
    <row r="10" customFormat="false" ht="24.75" hidden="false" customHeight="true" outlineLevel="0" collapsed="false">
      <c r="B10" s="11" t="s">
        <v>49</v>
      </c>
      <c r="C10" s="23" t="n">
        <v>4500</v>
      </c>
      <c r="D10" s="23" t="n">
        <v>5355</v>
      </c>
      <c r="E10" s="23" t="n">
        <v>6000</v>
      </c>
      <c r="G10" s="8" t="s">
        <v>50</v>
      </c>
    </row>
    <row r="11" customFormat="false" ht="15" hidden="false" customHeight="true" outlineLevel="0" collapsed="false">
      <c r="B11" s="24" t="s">
        <v>51</v>
      </c>
      <c r="C11" s="25" t="n">
        <f aca="false">SUM(C6:C10)</f>
        <v>21400</v>
      </c>
      <c r="D11" s="25" t="n">
        <f aca="false">SUM(D6:D10)</f>
        <v>23355</v>
      </c>
      <c r="E11" s="25" t="n">
        <f aca="false">SUM(E6:E10)</f>
        <v>24000</v>
      </c>
      <c r="G11" s="26" t="s">
        <v>52</v>
      </c>
    </row>
    <row r="13" customFormat="false" ht="15" hidden="false" customHeight="true" outlineLevel="0" collapsed="false">
      <c r="B13" s="6" t="s">
        <v>53</v>
      </c>
      <c r="C13" s="21"/>
      <c r="D13" s="21"/>
      <c r="E13" s="21"/>
      <c r="G13" s="22"/>
    </row>
    <row r="14" customFormat="false" ht="15" hidden="false" customHeight="true" outlineLevel="0" collapsed="false">
      <c r="B14" s="9" t="s">
        <v>54</v>
      </c>
      <c r="C14" s="23" t="n">
        <v>2700</v>
      </c>
      <c r="D14" s="23" t="n">
        <v>3000</v>
      </c>
      <c r="E14" s="23" t="n">
        <v>3300</v>
      </c>
      <c r="G14" s="8" t="s">
        <v>55</v>
      </c>
    </row>
    <row r="15" customFormat="false" ht="15" hidden="false" customHeight="true" outlineLevel="0" collapsed="false">
      <c r="B15" s="9" t="s">
        <v>56</v>
      </c>
      <c r="C15" s="23" t="n">
        <v>2000</v>
      </c>
      <c r="D15" s="23" t="n">
        <v>2300</v>
      </c>
      <c r="E15" s="23" t="n">
        <v>2600</v>
      </c>
      <c r="G15" s="8" t="s">
        <v>57</v>
      </c>
    </row>
    <row r="16" customFormat="false" ht="15" hidden="false" customHeight="true" outlineLevel="0" collapsed="false">
      <c r="B16" s="9" t="s">
        <v>58</v>
      </c>
      <c r="C16" s="23" t="n">
        <v>2300</v>
      </c>
      <c r="D16" s="23" t="n">
        <v>3045</v>
      </c>
      <c r="E16" s="23" t="n">
        <v>3500</v>
      </c>
      <c r="G16" s="8" t="s">
        <v>59</v>
      </c>
    </row>
    <row r="17" customFormat="false" ht="15" hidden="false" customHeight="true" outlineLevel="0" collapsed="false">
      <c r="B17" s="24" t="s">
        <v>60</v>
      </c>
      <c r="C17" s="25" t="n">
        <f aca="false">SUM(C14:C16)</f>
        <v>7000</v>
      </c>
      <c r="D17" s="25" t="n">
        <f aca="false">SUM(D14:D16)</f>
        <v>8345</v>
      </c>
      <c r="E17" s="25" t="n">
        <f aca="false">SUM(E14:E16)</f>
        <v>9400</v>
      </c>
      <c r="G17" s="22" t="s">
        <v>61</v>
      </c>
    </row>
    <row r="19" customFormat="false" ht="16.5" hidden="false" customHeight="true" outlineLevel="0" collapsed="false">
      <c r="B19" s="27" t="s">
        <v>6</v>
      </c>
      <c r="C19" s="28" t="n">
        <f aca="false">C11+C17</f>
        <v>28400</v>
      </c>
      <c r="D19" s="28" t="n">
        <f aca="false">D11+D17</f>
        <v>31700</v>
      </c>
      <c r="E19" s="28" t="n">
        <f aca="false">E11+E17</f>
        <v>33400</v>
      </c>
      <c r="G19" s="29" t="s">
        <v>62</v>
      </c>
    </row>
  </sheetData>
  <mergeCells count="1">
    <mergeCell ref="B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34"/>
    <col collapsed="false" customWidth="true" hidden="false" outlineLevel="0" max="5" min="3" style="1" width="14"/>
    <col collapsed="false" customWidth="true" hidden="false" outlineLevel="0" max="6" min="6" style="1" width="3"/>
    <col collapsed="false" customWidth="true" hidden="false" outlineLevel="0" max="7" min="7" style="1" width="46"/>
  </cols>
  <sheetData>
    <row r="2" customFormat="false" ht="24" hidden="false" customHeight="true" outlineLevel="0" collapsed="false">
      <c r="B2" s="30" t="s">
        <v>63</v>
      </c>
      <c r="C2" s="30"/>
      <c r="D2" s="30"/>
      <c r="E2" s="30"/>
      <c r="F2" s="30"/>
      <c r="G2" s="30"/>
    </row>
    <row r="4" customFormat="false" ht="15" hidden="false" customHeight="true" outlineLevel="0" collapsed="false">
      <c r="B4" s="4" t="s">
        <v>64</v>
      </c>
      <c r="C4" s="5" t="s">
        <v>3</v>
      </c>
      <c r="D4" s="5" t="s">
        <v>4</v>
      </c>
      <c r="E4" s="5" t="s">
        <v>5</v>
      </c>
      <c r="G4" s="4" t="s">
        <v>39</v>
      </c>
    </row>
    <row r="5" customFormat="false" ht="15" hidden="false" customHeight="true" outlineLevel="0" collapsed="false">
      <c r="B5" s="9" t="s">
        <v>65</v>
      </c>
      <c r="C5" s="31" t="n">
        <v>3</v>
      </c>
      <c r="D5" s="31" t="n">
        <v>3</v>
      </c>
      <c r="E5" s="31" t="n">
        <v>3</v>
      </c>
      <c r="G5" s="8" t="s">
        <v>66</v>
      </c>
    </row>
    <row r="6" customFormat="false" ht="15" hidden="false" customHeight="true" outlineLevel="0" collapsed="false">
      <c r="B6" s="9" t="s">
        <v>67</v>
      </c>
      <c r="C6" s="32" t="n">
        <v>8</v>
      </c>
      <c r="D6" s="32" t="n">
        <v>12</v>
      </c>
      <c r="E6" s="32" t="n">
        <v>18</v>
      </c>
      <c r="G6" s="8" t="s">
        <v>68</v>
      </c>
    </row>
    <row r="7" customFormat="false" ht="15" hidden="false" customHeight="true" outlineLevel="0" collapsed="false">
      <c r="B7" s="9" t="s">
        <v>69</v>
      </c>
      <c r="C7" s="31" t="n">
        <v>100</v>
      </c>
      <c r="D7" s="31" t="n">
        <v>100</v>
      </c>
      <c r="E7" s="31" t="n">
        <v>100</v>
      </c>
      <c r="G7" s="8" t="s">
        <v>70</v>
      </c>
    </row>
    <row r="8" customFormat="false" ht="15" hidden="false" customHeight="true" outlineLevel="0" collapsed="false">
      <c r="B8" s="9" t="s">
        <v>71</v>
      </c>
      <c r="C8" s="33" t="n">
        <v>0.65</v>
      </c>
      <c r="D8" s="33" t="n">
        <v>0.75</v>
      </c>
      <c r="E8" s="33" t="n">
        <v>0.85</v>
      </c>
      <c r="G8" s="8" t="s">
        <v>72</v>
      </c>
    </row>
    <row r="9" customFormat="false" ht="15" hidden="false" customHeight="true" outlineLevel="0" collapsed="false">
      <c r="B9" s="9" t="s">
        <v>73</v>
      </c>
      <c r="C9" s="32" t="n">
        <v>3</v>
      </c>
      <c r="D9" s="32" t="n">
        <v>4</v>
      </c>
      <c r="E9" s="32" t="n">
        <v>5</v>
      </c>
      <c r="G9" s="8" t="s">
        <v>74</v>
      </c>
    </row>
    <row r="10" customFormat="false" ht="15" hidden="false" customHeight="true" outlineLevel="0" collapsed="false">
      <c r="B10" s="9" t="s">
        <v>75</v>
      </c>
      <c r="C10" s="31" t="n">
        <v>150</v>
      </c>
      <c r="D10" s="31" t="n">
        <v>150</v>
      </c>
      <c r="E10" s="31" t="n">
        <v>150</v>
      </c>
      <c r="G10" s="10" t="s">
        <v>76</v>
      </c>
    </row>
    <row r="11" customFormat="false" ht="15" hidden="false" customHeight="true" outlineLevel="0" collapsed="false">
      <c r="B11" s="9" t="s">
        <v>77</v>
      </c>
      <c r="C11" s="33" t="n">
        <v>0.25</v>
      </c>
      <c r="D11" s="33" t="n">
        <v>0.35</v>
      </c>
      <c r="E11" s="33" t="n">
        <v>0.45</v>
      </c>
      <c r="G11" s="8" t="s">
        <v>78</v>
      </c>
    </row>
    <row r="12" customFormat="false" ht="15" hidden="false" customHeight="true" outlineLevel="0" collapsed="false">
      <c r="B12" s="34" t="s">
        <v>79</v>
      </c>
      <c r="C12" s="35" t="n">
        <f aca="false">C5*C6*C7*C8</f>
        <v>1560</v>
      </c>
      <c r="D12" s="35" t="n">
        <f aca="false">D5*D6*D7*D8</f>
        <v>2700</v>
      </c>
      <c r="E12" s="35" t="n">
        <f aca="false">E5*E6*E7*E8</f>
        <v>4590</v>
      </c>
      <c r="G12" s="8" t="s">
        <v>80</v>
      </c>
    </row>
    <row r="13" customFormat="false" ht="15" hidden="false" customHeight="true" outlineLevel="0" collapsed="false">
      <c r="B13" s="34" t="s">
        <v>81</v>
      </c>
      <c r="C13" s="35" t="n">
        <f aca="false">C5*C9*C10*C11</f>
        <v>337.5</v>
      </c>
      <c r="D13" s="35" t="n">
        <f aca="false">D5*D9*D10*D11</f>
        <v>630</v>
      </c>
      <c r="E13" s="35" t="n">
        <f aca="false">E5*E9*E10*E11</f>
        <v>1012.5</v>
      </c>
      <c r="G13" s="8" t="s">
        <v>82</v>
      </c>
    </row>
    <row r="14" customFormat="false" ht="15" hidden="false" customHeight="true" outlineLevel="0" collapsed="false">
      <c r="B14" s="6" t="s">
        <v>83</v>
      </c>
      <c r="C14" s="25" t="n">
        <f aca="false">C12+C13</f>
        <v>1897.5</v>
      </c>
      <c r="D14" s="25" t="n">
        <f aca="false">D12+D13</f>
        <v>3330</v>
      </c>
      <c r="E14" s="25" t="n">
        <f aca="false">E12+E13</f>
        <v>5602.5</v>
      </c>
      <c r="G14" s="22"/>
    </row>
    <row r="16" customFormat="false" ht="15" hidden="false" customHeight="true" outlineLevel="0" collapsed="false">
      <c r="B16" s="4" t="s">
        <v>84</v>
      </c>
      <c r="C16" s="36"/>
      <c r="D16" s="36"/>
      <c r="E16" s="36"/>
      <c r="G16" s="4"/>
    </row>
    <row r="17" customFormat="false" ht="15" hidden="false" customHeight="true" outlineLevel="0" collapsed="false">
      <c r="B17" s="11" t="s">
        <v>85</v>
      </c>
      <c r="C17" s="33" t="n">
        <v>0.15</v>
      </c>
      <c r="D17" s="33" t="n">
        <v>0.15</v>
      </c>
      <c r="E17" s="33" t="n">
        <v>0.15</v>
      </c>
      <c r="G17" s="10" t="s">
        <v>86</v>
      </c>
    </row>
    <row r="18" customFormat="false" ht="15" hidden="false" customHeight="true" outlineLevel="0" collapsed="false">
      <c r="B18" s="9" t="s">
        <v>87</v>
      </c>
      <c r="C18" s="33" t="n">
        <v>0.2</v>
      </c>
      <c r="D18" s="33" t="n">
        <v>0.18</v>
      </c>
      <c r="E18" s="33" t="n">
        <v>0.15</v>
      </c>
      <c r="G18" s="8" t="s">
        <v>88</v>
      </c>
    </row>
    <row r="19" customFormat="false" ht="15" hidden="false" customHeight="true" outlineLevel="0" collapsed="false">
      <c r="B19" s="9" t="s">
        <v>89</v>
      </c>
      <c r="C19" s="33" t="n">
        <v>0.1</v>
      </c>
      <c r="D19" s="33" t="n">
        <v>0.1</v>
      </c>
      <c r="E19" s="33" t="n">
        <v>0.08</v>
      </c>
      <c r="G19" s="8" t="s">
        <v>90</v>
      </c>
    </row>
    <row r="20" customFormat="false" ht="15" hidden="false" customHeight="true" outlineLevel="0" collapsed="false">
      <c r="B20" s="34" t="s">
        <v>91</v>
      </c>
      <c r="C20" s="35" t="n">
        <f aca="false">C14*(C17+C18+C19)</f>
        <v>853.875</v>
      </c>
      <c r="D20" s="35" t="n">
        <f aca="false">D14*(D17+D18+D19)</f>
        <v>1431.9</v>
      </c>
      <c r="E20" s="35" t="n">
        <f aca="false">E14*(E17+E18+E19)</f>
        <v>2128.95</v>
      </c>
      <c r="G20" s="8" t="s">
        <v>92</v>
      </c>
    </row>
    <row r="21" customFormat="false" ht="15" hidden="false" customHeight="true" outlineLevel="0" collapsed="false">
      <c r="B21" s="6" t="s">
        <v>93</v>
      </c>
      <c r="C21" s="25" t="n">
        <f aca="false">C14-C20</f>
        <v>1043.625</v>
      </c>
      <c r="D21" s="25" t="n">
        <f aca="false">D14-D20</f>
        <v>1898.1</v>
      </c>
      <c r="E21" s="25" t="n">
        <f aca="false">E14-E20</f>
        <v>3473.55</v>
      </c>
    </row>
    <row r="23" customFormat="false" ht="15" hidden="false" customHeight="true" outlineLevel="0" collapsed="false">
      <c r="B23" s="37" t="s">
        <v>94</v>
      </c>
      <c r="C23" s="23" t="n">
        <v>1200</v>
      </c>
      <c r="D23" s="23" t="n">
        <v>1200</v>
      </c>
      <c r="E23" s="23" t="n">
        <v>1200</v>
      </c>
      <c r="G23" s="8" t="s">
        <v>95</v>
      </c>
    </row>
    <row r="24" customFormat="false" ht="16.5" hidden="false" customHeight="true" outlineLevel="0" collapsed="false">
      <c r="B24" s="38" t="s">
        <v>96</v>
      </c>
      <c r="C24" s="28" t="n">
        <f aca="false">C14+C23</f>
        <v>3097.5</v>
      </c>
      <c r="D24" s="28" t="n">
        <f aca="false">D14+D23</f>
        <v>4530</v>
      </c>
      <c r="E24" s="28" t="n">
        <f aca="false">E14+E23</f>
        <v>6802.5</v>
      </c>
      <c r="G24" s="29" t="s">
        <v>97</v>
      </c>
    </row>
    <row r="26" customFormat="false" ht="16.5" hidden="false" customHeight="true" outlineLevel="0" collapsed="false">
      <c r="B26" s="39" t="s">
        <v>98</v>
      </c>
      <c r="C26" s="36"/>
      <c r="D26" s="36"/>
      <c r="E26" s="36"/>
      <c r="G26" s="4"/>
    </row>
    <row r="27" customFormat="false" ht="15" hidden="false" customHeight="true" outlineLevel="0" collapsed="false">
      <c r="B27" s="9" t="s">
        <v>99</v>
      </c>
      <c r="C27" s="13" t="n">
        <f aca="false">C20</f>
        <v>853.875</v>
      </c>
      <c r="D27" s="13" t="n">
        <f aca="false">D20</f>
        <v>1431.9</v>
      </c>
      <c r="E27" s="13" t="n">
        <f aca="false">E20</f>
        <v>2128.95</v>
      </c>
      <c r="G27" s="8" t="s">
        <v>100</v>
      </c>
    </row>
    <row r="28" customFormat="false" ht="15" hidden="false" customHeight="true" outlineLevel="0" collapsed="false">
      <c r="B28" s="9" t="s">
        <v>101</v>
      </c>
      <c r="C28" s="7" t="n">
        <f aca="false">(前提・投資!C6+前提・投資!C10)*0.014</f>
        <v>245</v>
      </c>
      <c r="D28" s="7" t="n">
        <f aca="false">(前提・投資!D6+前提・投資!D10)*0.014</f>
        <v>256.97</v>
      </c>
      <c r="E28" s="7" t="n">
        <f aca="false">(前提・投資!E6+前提・投資!E10)*0.014</f>
        <v>266</v>
      </c>
      <c r="G28" s="10" t="s">
        <v>102</v>
      </c>
    </row>
    <row r="29" customFormat="false" ht="15" hidden="false" customHeight="true" outlineLevel="0" collapsed="false">
      <c r="B29" s="9" t="s">
        <v>103</v>
      </c>
      <c r="C29" s="7" t="n">
        <f aca="false">前提・投資!C10/22+(前提・投資!C8+前提・投資!C9)/4+前提・投資!C7/6</f>
        <v>1054.54545454545</v>
      </c>
      <c r="D29" s="7" t="n">
        <f aca="false">前提・投資!D10/22+(前提・投資!D8+前提・投資!D9)/4+前提・投資!D7/6</f>
        <v>1326.74242424242</v>
      </c>
      <c r="E29" s="7" t="n">
        <f aca="false">前提・投資!E10/22+(前提・投資!E8+前提・投資!E9)/4+前提・投資!E7/6</f>
        <v>1356.06060606061</v>
      </c>
      <c r="G29" s="8" t="s">
        <v>104</v>
      </c>
    </row>
    <row r="30" customFormat="false" ht="15" hidden="false" customHeight="true" outlineLevel="0" collapsed="false">
      <c r="B30" s="24" t="s">
        <v>105</v>
      </c>
      <c r="C30" s="25" t="n">
        <f aca="false">C27+C28+C29</f>
        <v>2153.42045454545</v>
      </c>
      <c r="D30" s="25" t="n">
        <f aca="false">D27+D28+D29</f>
        <v>3015.61242424242</v>
      </c>
      <c r="E30" s="25" t="n">
        <f aca="false">E27+E28+E29</f>
        <v>3751.01060606061</v>
      </c>
    </row>
    <row r="32" customFormat="false" ht="16.5" hidden="false" customHeight="true" outlineLevel="0" collapsed="false">
      <c r="B32" s="38" t="s">
        <v>106</v>
      </c>
      <c r="C32" s="28" t="n">
        <f aca="false">C24-C30</f>
        <v>944.079545454546</v>
      </c>
      <c r="D32" s="28" t="n">
        <f aca="false">D24-D30</f>
        <v>1514.38757575758</v>
      </c>
      <c r="E32" s="28" t="n">
        <f aca="false">E24-E30</f>
        <v>3051.48939393939</v>
      </c>
      <c r="G32" s="29" t="s">
        <v>107</v>
      </c>
    </row>
    <row r="33" customFormat="false" ht="15" hidden="false" customHeight="true" outlineLevel="0" collapsed="false">
      <c r="B33" s="9" t="s">
        <v>108</v>
      </c>
      <c r="C33" s="13" t="n">
        <f aca="false">C32+C29</f>
        <v>1998.625</v>
      </c>
      <c r="D33" s="13" t="n">
        <f aca="false">D32+D29</f>
        <v>2841.13</v>
      </c>
      <c r="E33" s="13" t="n">
        <f aca="false">E32+E29</f>
        <v>4407.55</v>
      </c>
      <c r="G33" s="8" t="s">
        <v>109</v>
      </c>
    </row>
    <row r="34" customFormat="false" ht="15" hidden="false" customHeight="true" outlineLevel="0" collapsed="false">
      <c r="B34" s="24" t="s">
        <v>110</v>
      </c>
      <c r="C34" s="40" t="n">
        <f aca="false">C32/前提・投資!C11</f>
        <v>0.0441158666100255</v>
      </c>
      <c r="D34" s="40" t="n">
        <f aca="false">D32/前提・投資!D11</f>
        <v>0.0648421141407654</v>
      </c>
      <c r="E34" s="40" t="n">
        <f aca="false">E32/前提・投資!E11</f>
        <v>0.127145391414141</v>
      </c>
      <c r="G34" s="41" t="s">
        <v>111</v>
      </c>
    </row>
  </sheetData>
  <mergeCells count="1">
    <mergeCell ref="B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34"/>
    <col collapsed="false" customWidth="true" hidden="false" outlineLevel="0" max="5" min="3" style="1" width="14"/>
    <col collapsed="false" customWidth="true" hidden="false" outlineLevel="0" max="6" min="6" style="1" width="3"/>
    <col collapsed="false" customWidth="true" hidden="false" outlineLevel="0" max="7" min="7" style="1" width="46"/>
  </cols>
  <sheetData>
    <row r="2" customFormat="false" ht="24" hidden="false" customHeight="true" outlineLevel="0" collapsed="false">
      <c r="B2" s="30" t="s">
        <v>112</v>
      </c>
      <c r="C2" s="30"/>
      <c r="D2" s="30"/>
      <c r="E2" s="30"/>
      <c r="F2" s="30"/>
      <c r="G2" s="30"/>
    </row>
    <row r="4" customFormat="false" ht="15" hidden="false" customHeight="true" outlineLevel="0" collapsed="false">
      <c r="B4" s="4" t="s">
        <v>113</v>
      </c>
      <c r="C4" s="5" t="s">
        <v>3</v>
      </c>
      <c r="D4" s="5" t="s">
        <v>4</v>
      </c>
      <c r="E4" s="5" t="s">
        <v>5</v>
      </c>
      <c r="G4" s="4" t="s">
        <v>39</v>
      </c>
    </row>
    <row r="5" customFormat="false" ht="15" hidden="false" customHeight="true" outlineLevel="0" collapsed="false">
      <c r="B5" s="9" t="s">
        <v>114</v>
      </c>
      <c r="C5" s="31" t="n">
        <v>65</v>
      </c>
      <c r="D5" s="31" t="n">
        <v>80</v>
      </c>
      <c r="E5" s="31" t="n">
        <v>95</v>
      </c>
      <c r="G5" s="8" t="s">
        <v>115</v>
      </c>
    </row>
    <row r="6" customFormat="false" ht="15" hidden="false" customHeight="true" outlineLevel="0" collapsed="false">
      <c r="B6" s="9" t="s">
        <v>116</v>
      </c>
      <c r="C6" s="42" t="n">
        <v>12000</v>
      </c>
      <c r="D6" s="42" t="n">
        <v>14000</v>
      </c>
      <c r="E6" s="42" t="n">
        <v>16000</v>
      </c>
      <c r="G6" s="10" t="s">
        <v>117</v>
      </c>
    </row>
    <row r="7" customFormat="false" ht="15" hidden="false" customHeight="true" outlineLevel="0" collapsed="false">
      <c r="B7" s="9" t="s">
        <v>69</v>
      </c>
      <c r="C7" s="31" t="n">
        <v>110</v>
      </c>
      <c r="D7" s="31" t="n">
        <v>110</v>
      </c>
      <c r="E7" s="31" t="n">
        <v>110</v>
      </c>
      <c r="G7" s="10" t="s">
        <v>118</v>
      </c>
    </row>
    <row r="8" customFormat="false" ht="15" hidden="false" customHeight="true" outlineLevel="0" collapsed="false">
      <c r="B8" s="9" t="s">
        <v>119</v>
      </c>
      <c r="C8" s="32" t="n">
        <v>1.4</v>
      </c>
      <c r="D8" s="32" t="n">
        <v>1.6</v>
      </c>
      <c r="E8" s="32" t="n">
        <v>1.85</v>
      </c>
      <c r="G8" s="10" t="s">
        <v>120</v>
      </c>
    </row>
    <row r="9" customFormat="false" ht="15" hidden="false" customHeight="true" outlineLevel="0" collapsed="false">
      <c r="B9" s="9" t="s">
        <v>121</v>
      </c>
      <c r="C9" s="43" t="n">
        <v>1</v>
      </c>
      <c r="D9" s="43" t="n">
        <v>1</v>
      </c>
      <c r="E9" s="43" t="n">
        <v>1</v>
      </c>
      <c r="G9" s="8" t="s">
        <v>122</v>
      </c>
    </row>
    <row r="10" customFormat="false" ht="15" hidden="false" customHeight="true" outlineLevel="0" collapsed="false">
      <c r="B10" s="6" t="s">
        <v>123</v>
      </c>
      <c r="C10" s="25" t="n">
        <f aca="false">業態別トップライン!C9</f>
        <v>15746</v>
      </c>
      <c r="D10" s="25" t="n">
        <f aca="false">業態別トップライン!D9</f>
        <v>20995</v>
      </c>
      <c r="E10" s="25" t="n">
        <f aca="false">業態別トップライン!E9</f>
        <v>28342</v>
      </c>
      <c r="G10" s="41" t="s">
        <v>124</v>
      </c>
    </row>
    <row r="12" customFormat="false" ht="15" hidden="false" customHeight="true" outlineLevel="0" collapsed="false">
      <c r="B12" s="37" t="s">
        <v>125</v>
      </c>
      <c r="C12" s="23" t="n">
        <f aca="false">業態別トップライン!C11</f>
        <v>3000</v>
      </c>
      <c r="D12" s="23" t="n">
        <f aca="false">業態別トップライン!D11</f>
        <v>4000</v>
      </c>
      <c r="E12" s="23" t="n">
        <f aca="false">業態別トップライン!E11</f>
        <v>5000</v>
      </c>
      <c r="G12" s="8" t="s">
        <v>126</v>
      </c>
    </row>
    <row r="14" customFormat="false" ht="15" hidden="false" customHeight="true" outlineLevel="0" collapsed="false">
      <c r="B14" s="27" t="s">
        <v>127</v>
      </c>
      <c r="C14" s="28" t="n">
        <f aca="false">C10+C12</f>
        <v>18746</v>
      </c>
      <c r="D14" s="28" t="n">
        <f aca="false">D10+D12</f>
        <v>24995</v>
      </c>
      <c r="E14" s="28" t="n">
        <f aca="false">E10+E12</f>
        <v>33342</v>
      </c>
      <c r="G14" s="44" t="s">
        <v>128</v>
      </c>
    </row>
    <row r="16" customFormat="false" ht="15" hidden="false" customHeight="true" outlineLevel="0" collapsed="false">
      <c r="B16" s="4" t="s">
        <v>129</v>
      </c>
      <c r="C16" s="36"/>
      <c r="D16" s="36"/>
      <c r="E16" s="36"/>
      <c r="G16" s="4"/>
    </row>
    <row r="17" customFormat="false" ht="15" hidden="false" customHeight="true" outlineLevel="0" collapsed="false">
      <c r="B17" s="9" t="s">
        <v>130</v>
      </c>
      <c r="C17" s="33" t="n">
        <v>0.35</v>
      </c>
      <c r="D17" s="33" t="n">
        <v>0.33</v>
      </c>
      <c r="E17" s="33" t="n">
        <v>0.31</v>
      </c>
      <c r="G17" s="10" t="s">
        <v>131</v>
      </c>
    </row>
    <row r="18" customFormat="false" ht="15" hidden="false" customHeight="true" outlineLevel="0" collapsed="false">
      <c r="B18" s="9" t="s">
        <v>132</v>
      </c>
      <c r="C18" s="33" t="n">
        <v>0.28</v>
      </c>
      <c r="D18" s="33" t="n">
        <v>0.27</v>
      </c>
      <c r="E18" s="33" t="n">
        <v>0.26</v>
      </c>
      <c r="G18" s="10" t="s">
        <v>133</v>
      </c>
    </row>
    <row r="19" customFormat="false" ht="15" hidden="false" customHeight="true" outlineLevel="0" collapsed="false">
      <c r="B19" s="9" t="s">
        <v>134</v>
      </c>
      <c r="C19" s="23" t="n">
        <v>1200</v>
      </c>
      <c r="D19" s="23" t="n">
        <v>1200</v>
      </c>
      <c r="E19" s="23" t="n">
        <v>1200</v>
      </c>
      <c r="G19" s="8" t="s">
        <v>135</v>
      </c>
    </row>
    <row r="20" customFormat="false" ht="15" hidden="false" customHeight="true" outlineLevel="0" collapsed="false">
      <c r="B20" s="9" t="s">
        <v>136</v>
      </c>
      <c r="C20" s="33" t="n">
        <v>0.2</v>
      </c>
      <c r="D20" s="33" t="n">
        <v>0.19</v>
      </c>
      <c r="E20" s="33" t="n">
        <v>0.18</v>
      </c>
      <c r="G20" s="8" t="s">
        <v>137</v>
      </c>
    </row>
    <row r="21" customFormat="false" ht="15" hidden="false" customHeight="true" outlineLevel="0" collapsed="false">
      <c r="B21" s="34" t="s">
        <v>138</v>
      </c>
      <c r="C21" s="35" t="n">
        <f aca="false">C14*(C17+C18+C20)+C19</f>
        <v>16759.18</v>
      </c>
      <c r="D21" s="35" t="n">
        <f aca="false">D14*(D17+D18+D20)+D19</f>
        <v>20946.05</v>
      </c>
      <c r="E21" s="35" t="n">
        <f aca="false">E14*(E17+E18+E20)+E19</f>
        <v>26206.5</v>
      </c>
      <c r="G21" s="8" t="s">
        <v>139</v>
      </c>
    </row>
    <row r="23" customFormat="false" ht="15" hidden="false" customHeight="true" outlineLevel="0" collapsed="false">
      <c r="B23" s="27" t="s">
        <v>140</v>
      </c>
      <c r="C23" s="28" t="n">
        <f aca="false">C14-C21</f>
        <v>1986.82</v>
      </c>
      <c r="D23" s="28" t="n">
        <f aca="false">D14-D21</f>
        <v>4048.95</v>
      </c>
      <c r="E23" s="28" t="n">
        <f aca="false">E14-E21</f>
        <v>7135.5</v>
      </c>
      <c r="G23" s="45"/>
    </row>
    <row r="24" customFormat="false" ht="15" hidden="false" customHeight="true" outlineLevel="0" collapsed="false">
      <c r="B24" s="6" t="s">
        <v>141</v>
      </c>
      <c r="C24" s="40" t="n">
        <f aca="false">C23/C14</f>
        <v>0.105986343753334</v>
      </c>
      <c r="D24" s="40" t="n">
        <f aca="false">D23/D14</f>
        <v>0.161990398079616</v>
      </c>
      <c r="E24" s="40" t="n">
        <f aca="false">E23/E14</f>
        <v>0.214009357567033</v>
      </c>
      <c r="G24" s="41" t="s">
        <v>142</v>
      </c>
    </row>
    <row r="25" customFormat="false" ht="15" hidden="false" customHeight="true" outlineLevel="0" collapsed="false">
      <c r="B25" s="9" t="s">
        <v>143</v>
      </c>
      <c r="C25" s="14" t="n">
        <f aca="false">前提・投資!C17/C23</f>
        <v>3.52321800666392</v>
      </c>
      <c r="D25" s="14" t="n">
        <f aca="false">前提・投資!D17/D23</f>
        <v>2.06102816779659</v>
      </c>
      <c r="E25" s="14" t="n">
        <f aca="false">前提・投資!E17/E23</f>
        <v>1.31735687758391</v>
      </c>
      <c r="G25" s="10" t="s">
        <v>144</v>
      </c>
    </row>
    <row r="27" customFormat="false" ht="16.5" hidden="false" customHeight="true" outlineLevel="0" collapsed="false">
      <c r="B27" s="46" t="s">
        <v>145</v>
      </c>
      <c r="C27" s="47"/>
      <c r="D27" s="47"/>
      <c r="E27" s="47"/>
      <c r="G27" s="48" t="s">
        <v>146</v>
      </c>
    </row>
    <row r="28" customFormat="false" ht="15" hidden="false" customHeight="true" outlineLevel="0" collapsed="false">
      <c r="B28" s="11" t="s">
        <v>147</v>
      </c>
      <c r="C28" s="13" t="n">
        <f aca="false">C14*C17</f>
        <v>6561.1</v>
      </c>
      <c r="D28" s="13" t="n">
        <f aca="false">D14*D17</f>
        <v>8248.35</v>
      </c>
      <c r="E28" s="13" t="n">
        <f aca="false">E14*E17</f>
        <v>10336.02</v>
      </c>
      <c r="G28" s="8" t="s">
        <v>148</v>
      </c>
    </row>
    <row r="29" customFormat="false" ht="15" hidden="false" customHeight="true" outlineLevel="0" collapsed="false">
      <c r="B29" s="11" t="s">
        <v>149</v>
      </c>
      <c r="C29" s="13" t="n">
        <f aca="false">C14*C18</f>
        <v>5248.88</v>
      </c>
      <c r="D29" s="13" t="n">
        <f aca="false">D14*D18</f>
        <v>6748.65</v>
      </c>
      <c r="E29" s="13" t="n">
        <f aca="false">E14*E18</f>
        <v>8668.92</v>
      </c>
      <c r="G29" s="8" t="s">
        <v>150</v>
      </c>
    </row>
    <row r="30" customFormat="false" ht="15" hidden="false" customHeight="true" outlineLevel="0" collapsed="false">
      <c r="B30" s="11" t="s">
        <v>151</v>
      </c>
      <c r="C30" s="13" t="n">
        <f aca="false">C19</f>
        <v>1200</v>
      </c>
      <c r="D30" s="13" t="n">
        <f aca="false">D19</f>
        <v>1200</v>
      </c>
      <c r="E30" s="13" t="n">
        <f aca="false">E19</f>
        <v>1200</v>
      </c>
      <c r="G30" s="10" t="s">
        <v>152</v>
      </c>
    </row>
    <row r="32" customFormat="false" ht="15" hidden="false" customHeight="true" outlineLevel="0" collapsed="false">
      <c r="B32" s="11" t="s">
        <v>153</v>
      </c>
      <c r="C32" s="49" t="n">
        <f aca="false">C28/C14</f>
        <v>0.35</v>
      </c>
      <c r="D32" s="49" t="n">
        <f aca="false">D28/D14</f>
        <v>0.33</v>
      </c>
      <c r="E32" s="49" t="n">
        <f aca="false">E28/E14</f>
        <v>0.31</v>
      </c>
      <c r="G32" s="8" t="s">
        <v>154</v>
      </c>
    </row>
    <row r="33" customFormat="false" ht="15" hidden="false" customHeight="true" outlineLevel="0" collapsed="false">
      <c r="B33" s="11" t="s">
        <v>155</v>
      </c>
      <c r="C33" s="49" t="n">
        <f aca="false">C29/C14</f>
        <v>0.28</v>
      </c>
      <c r="D33" s="49" t="n">
        <f aca="false">D29/D14</f>
        <v>0.27</v>
      </c>
      <c r="E33" s="49" t="n">
        <f aca="false">E29/E14</f>
        <v>0.26</v>
      </c>
      <c r="G33" s="8" t="s">
        <v>156</v>
      </c>
    </row>
    <row r="34" customFormat="false" ht="15" hidden="false" customHeight="true" outlineLevel="0" collapsed="false">
      <c r="B34" s="11" t="s">
        <v>157</v>
      </c>
      <c r="C34" s="49" t="n">
        <f aca="false">C30/C14</f>
        <v>0.064013656246666</v>
      </c>
      <c r="D34" s="49" t="n">
        <f aca="false">D30/D14</f>
        <v>0.0480096019203841</v>
      </c>
      <c r="E34" s="49" t="n">
        <f aca="false">E30/E14</f>
        <v>0.0359906424329674</v>
      </c>
      <c r="G34" s="8" t="s">
        <v>158</v>
      </c>
    </row>
    <row r="36" customFormat="false" ht="15" hidden="false" customHeight="true" outlineLevel="0" collapsed="false">
      <c r="B36" s="24" t="s">
        <v>159</v>
      </c>
      <c r="C36" s="40" t="n">
        <f aca="false">C32+C33</f>
        <v>0.63</v>
      </c>
      <c r="D36" s="40" t="n">
        <f aca="false">D32+D33</f>
        <v>0.6</v>
      </c>
      <c r="E36" s="40" t="n">
        <f aca="false">E32+E33</f>
        <v>0.57</v>
      </c>
      <c r="G36" s="41" t="s">
        <v>160</v>
      </c>
    </row>
    <row r="37" customFormat="false" ht="15" hidden="false" customHeight="true" outlineLevel="0" collapsed="false">
      <c r="B37" s="24" t="s">
        <v>161</v>
      </c>
      <c r="C37" s="40" t="n">
        <f aca="false">C32+C33+C34</f>
        <v>0.694013656246666</v>
      </c>
      <c r="D37" s="40" t="n">
        <f aca="false">D32+D33+D34</f>
        <v>0.648009601920384</v>
      </c>
      <c r="E37" s="40" t="n">
        <f aca="false">E32+E33+E34</f>
        <v>0.605990642432968</v>
      </c>
      <c r="G37" s="50" t="s">
        <v>162</v>
      </c>
    </row>
    <row r="39" customFormat="false" ht="15" hidden="false" customHeight="true" outlineLevel="0" collapsed="false">
      <c r="B39" s="51" t="s">
        <v>163</v>
      </c>
      <c r="C39" s="52" t="str">
        <f aca="false">IF(C36&lt;=0.55,"優良",IF(C36&lt;=0.6,"健全",IF(C36&lt;=0.65,"要注意","赤信号")))</f>
        <v>要注意</v>
      </c>
      <c r="D39" s="52" t="str">
        <f aca="false">IF(D36&lt;=0.55,"優良",IF(D36&lt;=0.6,"健全",IF(D36&lt;=0.65,"要注意","赤信号")))</f>
        <v>健全</v>
      </c>
      <c r="E39" s="52" t="str">
        <f aca="false">IF(E36&lt;=0.55,"優良",IF(E36&lt;=0.6,"健全",IF(E36&lt;=0.65,"要注意","赤信号")))</f>
        <v>健全</v>
      </c>
      <c r="G39" s="10" t="s">
        <v>164</v>
      </c>
    </row>
    <row r="40" customFormat="false" ht="15" hidden="false" customHeight="true" outlineLevel="0" collapsed="false">
      <c r="B40" s="51" t="s">
        <v>165</v>
      </c>
      <c r="C40" s="52" t="str">
        <f aca="false">IF(C37&lt;=0.7,"健全",IF(C37&lt;=0.75,"要注意","赤信号"))</f>
        <v>健全</v>
      </c>
      <c r="D40" s="52" t="str">
        <f aca="false">IF(D37&lt;=0.7,"健全",IF(D37&lt;=0.75,"要注意","赤信号"))</f>
        <v>健全</v>
      </c>
      <c r="E40" s="52" t="str">
        <f aca="false">IF(E37&lt;=0.7,"健全",IF(E37&lt;=0.75,"要注意","赤信号"))</f>
        <v>健全</v>
      </c>
      <c r="G40" s="10" t="s">
        <v>166</v>
      </c>
    </row>
    <row r="42" customFormat="false" ht="43.5" hidden="false" customHeight="true" outlineLevel="0" collapsed="false">
      <c r="B42" s="53" t="s">
        <v>167</v>
      </c>
      <c r="C42" s="53"/>
      <c r="D42" s="53"/>
      <c r="E42" s="53"/>
      <c r="F42" s="53"/>
      <c r="G42" s="53"/>
    </row>
  </sheetData>
  <mergeCells count="2">
    <mergeCell ref="B2:G2"/>
    <mergeCell ref="B42:G4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26"/>
    <col collapsed="false" customWidth="true" hidden="false" outlineLevel="0" max="6" min="3" style="1" width="18"/>
  </cols>
  <sheetData>
    <row r="2" customFormat="false" ht="24" hidden="false" customHeight="true" outlineLevel="0" collapsed="false">
      <c r="B2" s="2" t="s">
        <v>168</v>
      </c>
      <c r="C2" s="2"/>
      <c r="D2" s="2"/>
      <c r="E2" s="2"/>
      <c r="F2" s="2"/>
    </row>
    <row r="3" customFormat="false" ht="15" hidden="false" customHeight="true" outlineLevel="0" collapsed="false">
      <c r="B3" s="54" t="s">
        <v>169</v>
      </c>
      <c r="C3" s="54"/>
      <c r="D3" s="54"/>
      <c r="E3" s="54"/>
      <c r="F3" s="54"/>
    </row>
    <row r="5" customFormat="false" ht="30" hidden="false" customHeight="true" outlineLevel="0" collapsed="false">
      <c r="B5" s="55" t="s">
        <v>170</v>
      </c>
      <c r="C5" s="55" t="s">
        <v>171</v>
      </c>
      <c r="D5" s="55" t="s">
        <v>172</v>
      </c>
      <c r="E5" s="55" t="s">
        <v>173</v>
      </c>
      <c r="F5" s="55" t="s">
        <v>174</v>
      </c>
    </row>
    <row r="6" customFormat="false" ht="15" hidden="false" customHeight="true" outlineLevel="0" collapsed="false">
      <c r="B6" s="6" t="s">
        <v>175</v>
      </c>
      <c r="C6" s="56" t="s">
        <v>176</v>
      </c>
      <c r="D6" s="56" t="s">
        <v>177</v>
      </c>
      <c r="E6" s="56" t="s">
        <v>178</v>
      </c>
      <c r="F6" s="56" t="s">
        <v>179</v>
      </c>
    </row>
    <row r="7" customFormat="false" ht="15" hidden="false" customHeight="true" outlineLevel="0" collapsed="false">
      <c r="B7" s="6" t="s">
        <v>180</v>
      </c>
      <c r="C7" s="52" t="s">
        <v>181</v>
      </c>
      <c r="D7" s="52" t="s">
        <v>182</v>
      </c>
      <c r="E7" s="52" t="s">
        <v>183</v>
      </c>
      <c r="F7" s="52" t="s">
        <v>184</v>
      </c>
    </row>
    <row r="8" customFormat="false" ht="15" hidden="false" customHeight="true" outlineLevel="0" collapsed="false">
      <c r="B8" s="6" t="s">
        <v>185</v>
      </c>
      <c r="C8" s="52" t="s">
        <v>186</v>
      </c>
      <c r="D8" s="52" t="s">
        <v>187</v>
      </c>
      <c r="E8" s="52" t="s">
        <v>188</v>
      </c>
      <c r="F8" s="52" t="s">
        <v>184</v>
      </c>
    </row>
    <row r="9" customFormat="false" ht="15" hidden="false" customHeight="true" outlineLevel="0" collapsed="false">
      <c r="B9" s="6" t="s">
        <v>189</v>
      </c>
      <c r="C9" s="56" t="s">
        <v>190</v>
      </c>
      <c r="D9" s="56" t="s">
        <v>191</v>
      </c>
      <c r="E9" s="52" t="s">
        <v>192</v>
      </c>
      <c r="F9" s="52" t="s">
        <v>192</v>
      </c>
    </row>
    <row r="10" customFormat="false" ht="15" hidden="false" customHeight="true" outlineLevel="0" collapsed="false">
      <c r="B10" s="6" t="s">
        <v>193</v>
      </c>
      <c r="C10" s="52" t="s">
        <v>194</v>
      </c>
      <c r="D10" s="52" t="s">
        <v>195</v>
      </c>
      <c r="E10" s="52" t="s">
        <v>196</v>
      </c>
      <c r="F10" s="52" t="s">
        <v>194</v>
      </c>
    </row>
    <row r="11" customFormat="false" ht="15" hidden="false" customHeight="true" outlineLevel="0" collapsed="false">
      <c r="B11" s="6" t="s">
        <v>197</v>
      </c>
      <c r="C11" s="52" t="s">
        <v>198</v>
      </c>
      <c r="D11" s="52" t="s">
        <v>199</v>
      </c>
      <c r="E11" s="52" t="s">
        <v>200</v>
      </c>
      <c r="F11" s="52" t="s">
        <v>201</v>
      </c>
    </row>
    <row r="12" customFormat="false" ht="15" hidden="false" customHeight="true" outlineLevel="0" collapsed="false">
      <c r="B12" s="6" t="s">
        <v>202</v>
      </c>
      <c r="C12" s="52" t="s">
        <v>203</v>
      </c>
      <c r="D12" s="56" t="s">
        <v>204</v>
      </c>
      <c r="E12" s="56" t="s">
        <v>205</v>
      </c>
      <c r="F12" s="52" t="s">
        <v>203</v>
      </c>
    </row>
    <row r="13" customFormat="false" ht="15" hidden="false" customHeight="true" outlineLevel="0" collapsed="false">
      <c r="B13" s="6" t="s">
        <v>206</v>
      </c>
      <c r="C13" s="52" t="s">
        <v>207</v>
      </c>
      <c r="D13" s="52" t="s">
        <v>208</v>
      </c>
      <c r="E13" s="56" t="s">
        <v>209</v>
      </c>
      <c r="F13" s="52" t="s">
        <v>210</v>
      </c>
    </row>
    <row r="14" customFormat="false" ht="15" hidden="false" customHeight="true" outlineLevel="0" collapsed="false">
      <c r="B14" s="6" t="s">
        <v>211</v>
      </c>
      <c r="C14" s="56" t="s">
        <v>212</v>
      </c>
      <c r="D14" s="56" t="s">
        <v>213</v>
      </c>
      <c r="E14" s="56" t="s">
        <v>205</v>
      </c>
      <c r="F14" s="56" t="s">
        <v>212</v>
      </c>
    </row>
    <row r="15" customFormat="false" ht="15" hidden="false" customHeight="true" outlineLevel="0" collapsed="false">
      <c r="B15" s="6" t="s">
        <v>214</v>
      </c>
      <c r="C15" s="52" t="s">
        <v>215</v>
      </c>
      <c r="D15" s="52" t="s">
        <v>216</v>
      </c>
      <c r="E15" s="52" t="s">
        <v>217</v>
      </c>
      <c r="F15" s="52" t="s">
        <v>218</v>
      </c>
    </row>
    <row r="17" customFormat="false" ht="45.75" hidden="false" customHeight="true" outlineLevel="0" collapsed="false">
      <c r="B17" s="57" t="s">
        <v>219</v>
      </c>
      <c r="C17" s="57"/>
      <c r="D17" s="57"/>
      <c r="E17" s="57"/>
      <c r="F17" s="57"/>
    </row>
    <row r="19" customFormat="false" ht="16.5" hidden="false" customHeight="true" outlineLevel="0" collapsed="false">
      <c r="B19" s="4" t="s">
        <v>220</v>
      </c>
      <c r="C19" s="36"/>
      <c r="D19" s="36"/>
      <c r="E19" s="36"/>
      <c r="F19" s="36"/>
    </row>
    <row r="20" customFormat="false" ht="15" hidden="false" customHeight="true" outlineLevel="0" collapsed="false">
      <c r="B20" s="34" t="s">
        <v>221</v>
      </c>
      <c r="C20" s="56" t="s">
        <v>222</v>
      </c>
      <c r="D20" s="52" t="s">
        <v>223</v>
      </c>
      <c r="E20" s="52" t="s">
        <v>224</v>
      </c>
      <c r="F20" s="56" t="s">
        <v>225</v>
      </c>
    </row>
    <row r="21" customFormat="false" ht="31.5" hidden="false" customHeight="true" outlineLevel="0" collapsed="false">
      <c r="B21" s="8" t="s">
        <v>226</v>
      </c>
      <c r="C21" s="8"/>
      <c r="D21" s="8"/>
      <c r="E21" s="8"/>
      <c r="F21" s="8"/>
    </row>
  </sheetData>
  <mergeCells count="4">
    <mergeCell ref="B2:F2"/>
    <mergeCell ref="B3:F3"/>
    <mergeCell ref="B17:F17"/>
    <mergeCell ref="B21:F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30"/>
    <col collapsed="false" customWidth="true" hidden="false" outlineLevel="0" max="5" min="3" style="1" width="13"/>
    <col collapsed="false" customWidth="true" hidden="false" outlineLevel="0" max="6" min="6" style="1" width="3"/>
    <col collapsed="false" customWidth="true" hidden="false" outlineLevel="0" max="7" min="7" style="1" width="42"/>
  </cols>
  <sheetData>
    <row r="2" customFormat="false" ht="24" hidden="false" customHeight="true" outlineLevel="0" collapsed="false">
      <c r="B2" s="2" t="s">
        <v>227</v>
      </c>
      <c r="C2" s="2"/>
      <c r="D2" s="2"/>
      <c r="E2" s="2"/>
      <c r="F2" s="2"/>
      <c r="G2" s="2"/>
    </row>
    <row r="3" customFormat="false" ht="15" hidden="false" customHeight="true" outlineLevel="0" collapsed="false">
      <c r="B3" s="3" t="s">
        <v>228</v>
      </c>
      <c r="C3" s="3"/>
      <c r="D3" s="3"/>
      <c r="E3" s="3"/>
      <c r="F3" s="3"/>
      <c r="G3" s="3"/>
    </row>
    <row r="5" customFormat="false" ht="16.5" hidden="false" customHeight="true" outlineLevel="0" collapsed="false">
      <c r="B5" s="4" t="s">
        <v>229</v>
      </c>
      <c r="C5" s="5" t="s">
        <v>3</v>
      </c>
      <c r="D5" s="5" t="s">
        <v>4</v>
      </c>
      <c r="E5" s="5" t="s">
        <v>5</v>
      </c>
      <c r="G5" s="4" t="s">
        <v>39</v>
      </c>
    </row>
    <row r="6" customFormat="false" ht="24.75" hidden="false" customHeight="true" outlineLevel="0" collapsed="false">
      <c r="B6" s="9" t="s">
        <v>230</v>
      </c>
      <c r="C6" s="42" t="n">
        <v>1400</v>
      </c>
      <c r="D6" s="42" t="n">
        <v>1500</v>
      </c>
      <c r="E6" s="42" t="n">
        <v>1700</v>
      </c>
      <c r="G6" s="8" t="s">
        <v>231</v>
      </c>
    </row>
    <row r="7" customFormat="false" ht="15" hidden="false" customHeight="true" outlineLevel="0" collapsed="false">
      <c r="B7" s="9" t="s">
        <v>232</v>
      </c>
      <c r="C7" s="31" t="n">
        <v>10</v>
      </c>
      <c r="D7" s="31" t="n">
        <v>14</v>
      </c>
      <c r="E7" s="31" t="n">
        <v>18</v>
      </c>
      <c r="G7" s="10" t="s">
        <v>233</v>
      </c>
    </row>
    <row r="8" customFormat="false" ht="15" hidden="false" customHeight="true" outlineLevel="0" collapsed="false">
      <c r="B8" s="11" t="s">
        <v>234</v>
      </c>
      <c r="C8" s="31" t="n">
        <v>8</v>
      </c>
      <c r="D8" s="31" t="n">
        <v>8</v>
      </c>
      <c r="E8" s="31" t="n">
        <v>8</v>
      </c>
      <c r="G8" s="8" t="s">
        <v>235</v>
      </c>
    </row>
    <row r="9" customFormat="false" ht="15" hidden="false" customHeight="true" outlineLevel="0" collapsed="false">
      <c r="B9" s="9" t="s">
        <v>236</v>
      </c>
      <c r="C9" s="31" t="n">
        <v>110</v>
      </c>
      <c r="D9" s="31" t="n">
        <v>110</v>
      </c>
      <c r="E9" s="31" t="n">
        <v>110</v>
      </c>
      <c r="G9" s="10" t="s">
        <v>118</v>
      </c>
    </row>
    <row r="10" customFormat="false" ht="15" hidden="false" customHeight="true" outlineLevel="0" collapsed="false">
      <c r="B10" s="6" t="s">
        <v>237</v>
      </c>
      <c r="C10" s="25" t="n">
        <f aca="false">C6*C7*C8*C9/10000</f>
        <v>1232</v>
      </c>
      <c r="D10" s="25" t="n">
        <f aca="false">D6*D7*D8*D9/10000</f>
        <v>1848</v>
      </c>
      <c r="E10" s="25" t="n">
        <f aca="false">E6*E7*E8*E9/10000</f>
        <v>2692.8</v>
      </c>
      <c r="G10" s="41" t="s">
        <v>238</v>
      </c>
    </row>
    <row r="12" customFormat="false" ht="15" hidden="false" customHeight="true" outlineLevel="0" collapsed="false">
      <c r="B12" s="4" t="s">
        <v>239</v>
      </c>
      <c r="C12" s="36"/>
      <c r="D12" s="36"/>
      <c r="E12" s="36"/>
      <c r="G12" s="39"/>
    </row>
    <row r="13" customFormat="false" ht="15" hidden="false" customHeight="true" outlineLevel="0" collapsed="false">
      <c r="B13" s="9" t="s">
        <v>240</v>
      </c>
      <c r="C13" s="31" t="n">
        <v>2</v>
      </c>
      <c r="D13" s="31" t="n">
        <v>4</v>
      </c>
      <c r="E13" s="31" t="n">
        <v>5</v>
      </c>
      <c r="G13" s="8" t="s">
        <v>241</v>
      </c>
    </row>
    <row r="14" customFormat="false" ht="15" hidden="false" customHeight="true" outlineLevel="0" collapsed="false">
      <c r="B14" s="9" t="s">
        <v>242</v>
      </c>
      <c r="C14" s="23" t="n">
        <v>420</v>
      </c>
      <c r="D14" s="23" t="n">
        <v>450</v>
      </c>
      <c r="E14" s="23" t="n">
        <v>480</v>
      </c>
      <c r="G14" s="8" t="s">
        <v>243</v>
      </c>
    </row>
    <row r="15" customFormat="false" ht="15" hidden="false" customHeight="true" outlineLevel="0" collapsed="false">
      <c r="B15" s="6" t="s">
        <v>244</v>
      </c>
      <c r="C15" s="25" t="n">
        <f aca="false">C13*C14</f>
        <v>840</v>
      </c>
      <c r="D15" s="25" t="n">
        <f aca="false">D13*D14</f>
        <v>1800</v>
      </c>
      <c r="E15" s="25" t="n">
        <f aca="false">E13*E14</f>
        <v>2400</v>
      </c>
      <c r="G15" s="41" t="s">
        <v>245</v>
      </c>
    </row>
    <row r="17" customFormat="false" ht="15" hidden="false" customHeight="true" outlineLevel="0" collapsed="false">
      <c r="B17" s="4" t="s">
        <v>246</v>
      </c>
      <c r="C17" s="36"/>
      <c r="D17" s="36"/>
      <c r="E17" s="36"/>
      <c r="G17" s="39"/>
    </row>
    <row r="18" customFormat="false" ht="15" hidden="false" customHeight="true" outlineLevel="0" collapsed="false">
      <c r="B18" s="9" t="s">
        <v>230</v>
      </c>
      <c r="C18" s="42" t="n">
        <v>1300</v>
      </c>
      <c r="D18" s="42" t="n">
        <v>1300</v>
      </c>
      <c r="E18" s="42" t="n">
        <v>1400</v>
      </c>
      <c r="G18" s="8" t="s">
        <v>247</v>
      </c>
    </row>
    <row r="19" customFormat="false" ht="15" hidden="false" customHeight="true" outlineLevel="0" collapsed="false">
      <c r="B19" s="9" t="s">
        <v>232</v>
      </c>
      <c r="C19" s="31" t="n">
        <v>3</v>
      </c>
      <c r="D19" s="31" t="n">
        <v>4</v>
      </c>
      <c r="E19" s="31" t="n">
        <v>5</v>
      </c>
      <c r="G19" s="8" t="s">
        <v>248</v>
      </c>
    </row>
    <row r="20" customFormat="false" ht="15" hidden="false" customHeight="true" outlineLevel="0" collapsed="false">
      <c r="B20" s="11" t="s">
        <v>234</v>
      </c>
      <c r="C20" s="31" t="n">
        <v>6</v>
      </c>
      <c r="D20" s="31" t="n">
        <v>6</v>
      </c>
      <c r="E20" s="31" t="n">
        <v>6</v>
      </c>
      <c r="G20" s="8" t="s">
        <v>249</v>
      </c>
    </row>
    <row r="21" customFormat="false" ht="15" hidden="false" customHeight="true" outlineLevel="0" collapsed="false">
      <c r="B21" s="9" t="s">
        <v>250</v>
      </c>
      <c r="C21" s="31" t="n">
        <v>250</v>
      </c>
      <c r="D21" s="31" t="n">
        <v>250</v>
      </c>
      <c r="E21" s="31" t="n">
        <v>250</v>
      </c>
      <c r="G21" s="10" t="s">
        <v>251</v>
      </c>
    </row>
    <row r="22" customFormat="false" ht="15" hidden="false" customHeight="true" outlineLevel="0" collapsed="false">
      <c r="B22" s="6" t="s">
        <v>252</v>
      </c>
      <c r="C22" s="25" t="n">
        <f aca="false">C18*C19*C20*C21/10000</f>
        <v>585</v>
      </c>
      <c r="D22" s="25" t="n">
        <f aca="false">D18*D19*D20*D21/10000</f>
        <v>780</v>
      </c>
      <c r="E22" s="25" t="n">
        <f aca="false">E18*E19*E20*E21/10000</f>
        <v>1050</v>
      </c>
      <c r="G22" s="41" t="s">
        <v>238</v>
      </c>
    </row>
    <row r="24" customFormat="false" ht="15" hidden="false" customHeight="true" outlineLevel="0" collapsed="false">
      <c r="B24" s="9" t="s">
        <v>253</v>
      </c>
      <c r="C24" s="23" t="n">
        <v>300</v>
      </c>
      <c r="D24" s="23" t="n">
        <v>500</v>
      </c>
      <c r="E24" s="23" t="n">
        <v>700</v>
      </c>
      <c r="G24" s="8" t="s">
        <v>254</v>
      </c>
    </row>
    <row r="26" customFormat="false" ht="15" hidden="false" customHeight="true" outlineLevel="0" collapsed="false">
      <c r="B26" s="27" t="s">
        <v>255</v>
      </c>
      <c r="C26" s="28" t="n">
        <f aca="false">C10+C15+C22+C24</f>
        <v>2957</v>
      </c>
      <c r="D26" s="28" t="n">
        <f aca="false">D10+D15+D22+D24</f>
        <v>4928</v>
      </c>
      <c r="E26" s="28" t="n">
        <f aca="false">E10+E15+E22+E24</f>
        <v>6842.8</v>
      </c>
      <c r="G26" s="44" t="s">
        <v>256</v>
      </c>
    </row>
    <row r="27" customFormat="false" ht="15" hidden="false" customHeight="true" outlineLevel="0" collapsed="false">
      <c r="B27" s="6" t="s">
        <v>257</v>
      </c>
      <c r="C27" s="40" t="n">
        <f aca="false">C26/AP飲食収支!C14</f>
        <v>0.157740317934493</v>
      </c>
      <c r="D27" s="40" t="n">
        <f aca="false">D26/AP飲食収支!D14</f>
        <v>0.197159431886377</v>
      </c>
      <c r="E27" s="40" t="n">
        <f aca="false">E26/AP飲食収支!E14</f>
        <v>0.205230640033591</v>
      </c>
      <c r="G27" s="41" t="s">
        <v>258</v>
      </c>
    </row>
    <row r="28" customFormat="false" ht="15" hidden="false" customHeight="true" outlineLevel="0" collapsed="false">
      <c r="B28" s="9" t="s">
        <v>259</v>
      </c>
      <c r="C28" s="12" t="n">
        <f aca="false">AP飲食収支!C18</f>
        <v>0.28</v>
      </c>
      <c r="D28" s="12" t="n">
        <f aca="false">AP飲食収支!D18</f>
        <v>0.27</v>
      </c>
      <c r="E28" s="12" t="n">
        <f aca="false">AP飲食収支!E18</f>
        <v>0.26</v>
      </c>
      <c r="G28" s="8" t="s">
        <v>260</v>
      </c>
    </row>
    <row r="30" customFormat="false" ht="43.5" hidden="false" customHeight="true" outlineLevel="0" collapsed="false">
      <c r="B30" s="53" t="s">
        <v>261</v>
      </c>
      <c r="C30" s="53"/>
      <c r="D30" s="53"/>
      <c r="E30" s="53"/>
      <c r="F30" s="53"/>
      <c r="G30" s="53"/>
    </row>
  </sheetData>
  <mergeCells count="3">
    <mergeCell ref="B2:G2"/>
    <mergeCell ref="B3:G3"/>
    <mergeCell ref="B30:G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34"/>
    <col collapsed="false" customWidth="true" hidden="false" outlineLevel="0" max="3" min="3" style="1" width="14"/>
    <col collapsed="false" customWidth="true" hidden="false" outlineLevel="0" max="5" min="4" style="1" width="13"/>
    <col collapsed="false" customWidth="true" hidden="false" outlineLevel="0" max="6" min="6" style="1" width="15"/>
    <col collapsed="false" customWidth="true" hidden="false" outlineLevel="0" max="7" min="7" style="1" width="13"/>
  </cols>
  <sheetData>
    <row r="2" customFormat="false" ht="24" hidden="false" customHeight="true" outlineLevel="0" collapsed="false">
      <c r="B2" s="2" t="s">
        <v>262</v>
      </c>
      <c r="C2" s="2"/>
      <c r="D2" s="2"/>
      <c r="E2" s="2"/>
      <c r="F2" s="2"/>
      <c r="G2" s="2"/>
    </row>
    <row r="3" customFormat="false" ht="15" hidden="false" customHeight="true" outlineLevel="0" collapsed="false">
      <c r="B3" s="3" t="s">
        <v>263</v>
      </c>
      <c r="C3" s="3"/>
      <c r="D3" s="3"/>
      <c r="E3" s="3"/>
      <c r="F3" s="3"/>
      <c r="G3" s="3"/>
    </row>
    <row r="5" customFormat="false" ht="27.75" hidden="false" customHeight="true" outlineLevel="0" collapsed="false">
      <c r="B5" s="55" t="s">
        <v>264</v>
      </c>
      <c r="C5" s="55" t="s">
        <v>265</v>
      </c>
      <c r="D5" s="58" t="s">
        <v>266</v>
      </c>
      <c r="E5" s="55" t="s">
        <v>267</v>
      </c>
      <c r="F5" s="55" t="s">
        <v>268</v>
      </c>
      <c r="G5" s="55" t="s">
        <v>269</v>
      </c>
    </row>
    <row r="6" customFormat="false" ht="15" hidden="false" customHeight="true" outlineLevel="0" collapsed="false">
      <c r="B6" s="6" t="s">
        <v>270</v>
      </c>
      <c r="C6" s="56" t="s">
        <v>271</v>
      </c>
      <c r="D6" s="56" t="s">
        <v>272</v>
      </c>
      <c r="E6" s="56" t="s">
        <v>273</v>
      </c>
      <c r="F6" s="52" t="s">
        <v>274</v>
      </c>
      <c r="G6" s="56" t="s">
        <v>275</v>
      </c>
    </row>
    <row r="7" customFormat="false" ht="15" hidden="false" customHeight="true" outlineLevel="0" collapsed="false">
      <c r="B7" s="6" t="s">
        <v>276</v>
      </c>
      <c r="C7" s="56" t="s">
        <v>277</v>
      </c>
      <c r="D7" s="56" t="s">
        <v>278</v>
      </c>
      <c r="E7" s="56" t="s">
        <v>279</v>
      </c>
      <c r="F7" s="52" t="s">
        <v>280</v>
      </c>
      <c r="G7" s="56" t="s">
        <v>281</v>
      </c>
    </row>
    <row r="8" customFormat="false" ht="15" hidden="false" customHeight="true" outlineLevel="0" collapsed="false">
      <c r="B8" s="6" t="s">
        <v>282</v>
      </c>
      <c r="C8" s="56" t="s">
        <v>283</v>
      </c>
      <c r="D8" s="56" t="s">
        <v>284</v>
      </c>
      <c r="E8" s="56" t="s">
        <v>279</v>
      </c>
      <c r="F8" s="52" t="s">
        <v>285</v>
      </c>
      <c r="G8" s="56" t="s">
        <v>286</v>
      </c>
    </row>
    <row r="9" customFormat="false" ht="15" hidden="false" customHeight="true" outlineLevel="0" collapsed="false">
      <c r="B9" s="6" t="s">
        <v>287</v>
      </c>
      <c r="C9" s="56" t="s">
        <v>288</v>
      </c>
      <c r="D9" s="56" t="s">
        <v>289</v>
      </c>
      <c r="E9" s="56" t="s">
        <v>290</v>
      </c>
      <c r="F9" s="52" t="s">
        <v>291</v>
      </c>
      <c r="G9" s="56" t="s">
        <v>292</v>
      </c>
    </row>
    <row r="10" customFormat="false" ht="15" hidden="false" customHeight="true" outlineLevel="0" collapsed="false">
      <c r="B10" s="6" t="s">
        <v>293</v>
      </c>
      <c r="C10" s="56" t="s">
        <v>294</v>
      </c>
      <c r="D10" s="56" t="s">
        <v>295</v>
      </c>
      <c r="E10" s="56" t="s">
        <v>296</v>
      </c>
      <c r="F10" s="56" t="s">
        <v>297</v>
      </c>
      <c r="G10" s="56" t="s">
        <v>297</v>
      </c>
    </row>
    <row r="12" customFormat="false" ht="15" hidden="false" customHeight="true" outlineLevel="0" collapsed="false">
      <c r="B12" s="4" t="s">
        <v>298</v>
      </c>
      <c r="C12" s="36"/>
      <c r="D12" s="36"/>
      <c r="E12" s="36"/>
      <c r="F12" s="36"/>
      <c r="G12" s="36"/>
    </row>
    <row r="13" customFormat="false" ht="30" hidden="false" customHeight="true" outlineLevel="0" collapsed="false">
      <c r="B13" s="59" t="s">
        <v>299</v>
      </c>
      <c r="C13" s="59"/>
      <c r="D13" s="59"/>
      <c r="E13" s="59"/>
      <c r="F13" s="59"/>
      <c r="G13" s="59"/>
    </row>
    <row r="14" customFormat="false" ht="30" hidden="false" customHeight="true" outlineLevel="0" collapsed="false">
      <c r="B14" s="60" t="s">
        <v>300</v>
      </c>
      <c r="C14" s="60"/>
      <c r="D14" s="60"/>
      <c r="E14" s="60"/>
      <c r="F14" s="60"/>
      <c r="G14" s="60"/>
    </row>
    <row r="15" customFormat="false" ht="30" hidden="false" customHeight="true" outlineLevel="0" collapsed="false">
      <c r="B15" s="59" t="s">
        <v>301</v>
      </c>
      <c r="C15" s="59"/>
      <c r="D15" s="59"/>
      <c r="E15" s="59"/>
      <c r="F15" s="59"/>
      <c r="G15" s="59"/>
    </row>
    <row r="16" customFormat="false" ht="30" hidden="false" customHeight="true" outlineLevel="0" collapsed="false">
      <c r="B16" s="59" t="s">
        <v>302</v>
      </c>
      <c r="C16" s="59"/>
      <c r="D16" s="59"/>
      <c r="E16" s="59"/>
      <c r="F16" s="59"/>
      <c r="G16" s="59"/>
    </row>
    <row r="17" customFormat="false" ht="30" hidden="false" customHeight="true" outlineLevel="0" collapsed="false">
      <c r="B17" s="59" t="s">
        <v>303</v>
      </c>
      <c r="C17" s="59"/>
      <c r="D17" s="59"/>
      <c r="E17" s="59"/>
      <c r="F17" s="59"/>
      <c r="G17" s="59"/>
    </row>
    <row r="19" customFormat="false" ht="63.75" hidden="false" customHeight="true" outlineLevel="0" collapsed="false">
      <c r="B19" s="19" t="s">
        <v>304</v>
      </c>
      <c r="C19" s="19"/>
      <c r="D19" s="19"/>
      <c r="E19" s="19"/>
      <c r="F19" s="19"/>
      <c r="G19" s="19"/>
    </row>
  </sheetData>
  <mergeCells count="8">
    <mergeCell ref="B2:G2"/>
    <mergeCell ref="B3:G3"/>
    <mergeCell ref="B13:G13"/>
    <mergeCell ref="B14:G14"/>
    <mergeCell ref="B15:G15"/>
    <mergeCell ref="B16:G16"/>
    <mergeCell ref="B17:G17"/>
    <mergeCell ref="B19:G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24"/>
    <col collapsed="false" customWidth="true" hidden="false" outlineLevel="0" max="5" min="3" style="1" width="12"/>
    <col collapsed="false" customWidth="true" hidden="false" outlineLevel="0" max="6" min="6" style="1" width="3"/>
    <col collapsed="false" customWidth="true" hidden="false" outlineLevel="0" max="7" min="7" style="1" width="40"/>
  </cols>
  <sheetData>
    <row r="2" customFormat="false" ht="24" hidden="false" customHeight="true" outlineLevel="0" collapsed="false">
      <c r="B2" s="61" t="s">
        <v>305</v>
      </c>
      <c r="C2" s="61"/>
      <c r="D2" s="61"/>
      <c r="E2" s="61"/>
      <c r="F2" s="61"/>
      <c r="G2" s="61"/>
    </row>
    <row r="3" customFormat="false" ht="15" hidden="false" customHeight="true" outlineLevel="0" collapsed="false">
      <c r="B3" s="3" t="s">
        <v>306</v>
      </c>
      <c r="C3" s="3"/>
      <c r="D3" s="3"/>
      <c r="E3" s="3"/>
      <c r="F3" s="3"/>
      <c r="G3" s="3"/>
    </row>
    <row r="5" customFormat="false" ht="15" hidden="false" customHeight="true" outlineLevel="0" collapsed="false">
      <c r="B5" s="62" t="s">
        <v>307</v>
      </c>
      <c r="C5" s="62" t="s">
        <v>3</v>
      </c>
      <c r="D5" s="62" t="s">
        <v>4</v>
      </c>
      <c r="E5" s="62" t="s">
        <v>5</v>
      </c>
      <c r="G5" s="46" t="s">
        <v>308</v>
      </c>
    </row>
    <row r="6" customFormat="false" ht="15" hidden="false" customHeight="true" outlineLevel="0" collapsed="false">
      <c r="B6" s="9" t="s">
        <v>309</v>
      </c>
      <c r="C6" s="23" t="n">
        <v>4316</v>
      </c>
      <c r="D6" s="23" t="n">
        <v>5755</v>
      </c>
      <c r="E6" s="23" t="n">
        <v>7769</v>
      </c>
      <c r="G6" s="8" t="s">
        <v>310</v>
      </c>
    </row>
    <row r="7" customFormat="false" ht="15" hidden="false" customHeight="true" outlineLevel="0" collapsed="false">
      <c r="B7" s="9" t="s">
        <v>311</v>
      </c>
      <c r="C7" s="23" t="n">
        <v>9909</v>
      </c>
      <c r="D7" s="23" t="n">
        <v>13212</v>
      </c>
      <c r="E7" s="23" t="n">
        <v>17836</v>
      </c>
      <c r="G7" s="8" t="s">
        <v>312</v>
      </c>
    </row>
    <row r="8" customFormat="false" ht="15" hidden="false" customHeight="true" outlineLevel="0" collapsed="false">
      <c r="B8" s="9" t="s">
        <v>313</v>
      </c>
      <c r="C8" s="23" t="n">
        <v>1521</v>
      </c>
      <c r="D8" s="23" t="n">
        <v>2028</v>
      </c>
      <c r="E8" s="23" t="n">
        <v>2737</v>
      </c>
      <c r="G8" s="8" t="s">
        <v>314</v>
      </c>
    </row>
    <row r="9" customFormat="false" ht="15" hidden="false" customHeight="true" outlineLevel="0" collapsed="false">
      <c r="B9" s="6" t="s">
        <v>315</v>
      </c>
      <c r="C9" s="25" t="n">
        <f aca="false">SUM(C6:C8)</f>
        <v>15746</v>
      </c>
      <c r="D9" s="25" t="n">
        <f aca="false">SUM(D6:D8)</f>
        <v>20995</v>
      </c>
      <c r="E9" s="25" t="n">
        <f aca="false">SUM(E6:E8)</f>
        <v>28342</v>
      </c>
      <c r="G9" s="21"/>
    </row>
    <row r="11" customFormat="false" ht="24.75" hidden="false" customHeight="true" outlineLevel="0" collapsed="false">
      <c r="B11" s="9" t="s">
        <v>316</v>
      </c>
      <c r="C11" s="23" t="n">
        <v>3000</v>
      </c>
      <c r="D11" s="23" t="n">
        <v>4000</v>
      </c>
      <c r="E11" s="23" t="n">
        <v>5000</v>
      </c>
      <c r="G11" s="8" t="s">
        <v>317</v>
      </c>
    </row>
    <row r="12" customFormat="false" ht="15" hidden="false" customHeight="true" outlineLevel="0" collapsed="false">
      <c r="B12" s="27" t="s">
        <v>127</v>
      </c>
      <c r="C12" s="28" t="n">
        <f aca="false">C9+C11</f>
        <v>18746</v>
      </c>
      <c r="D12" s="28" t="n">
        <f aca="false">D9+D11</f>
        <v>24995</v>
      </c>
      <c r="E12" s="28" t="n">
        <f aca="false">E9+E11</f>
        <v>33342</v>
      </c>
      <c r="G12" s="63" t="s">
        <v>318</v>
      </c>
    </row>
    <row r="14" customFormat="false" ht="79.5" hidden="false" customHeight="true" outlineLevel="0" collapsed="false">
      <c r="B14" s="53" t="s">
        <v>319</v>
      </c>
      <c r="C14" s="53"/>
      <c r="D14" s="53"/>
      <c r="E14" s="53"/>
      <c r="F14" s="53"/>
      <c r="G14" s="53"/>
    </row>
  </sheetData>
  <mergeCells count="3">
    <mergeCell ref="B2:G2"/>
    <mergeCell ref="B3:G3"/>
    <mergeCell ref="B14:G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30"/>
    <col collapsed="false" customWidth="true" hidden="false" outlineLevel="0" max="3" min="3" style="1" width="14"/>
    <col collapsed="false" customWidth="true" hidden="false" outlineLevel="0" max="4" min="4" style="1" width="3"/>
    <col collapsed="false" customWidth="true" hidden="false" outlineLevel="0" max="5" min="5" style="1" width="46"/>
  </cols>
  <sheetData>
    <row r="2" customFormat="false" ht="24" hidden="false" customHeight="true" outlineLevel="0" collapsed="false">
      <c r="B2" s="61" t="s">
        <v>320</v>
      </c>
      <c r="C2" s="61"/>
      <c r="D2" s="61"/>
      <c r="E2" s="61"/>
    </row>
    <row r="3" customFormat="false" ht="15" hidden="false" customHeight="true" outlineLevel="0" collapsed="false">
      <c r="B3" s="54" t="s">
        <v>321</v>
      </c>
      <c r="C3" s="54"/>
      <c r="D3" s="54"/>
      <c r="E3" s="54"/>
    </row>
    <row r="5" customFormat="false" ht="15" hidden="false" customHeight="true" outlineLevel="0" collapsed="false">
      <c r="B5" s="46" t="s">
        <v>322</v>
      </c>
      <c r="C5" s="64"/>
      <c r="E5" s="46"/>
    </row>
    <row r="6" customFormat="false" ht="15" hidden="false" customHeight="true" outlineLevel="0" collapsed="false">
      <c r="B6" s="9" t="s">
        <v>323</v>
      </c>
      <c r="C6" s="23" t="n">
        <v>18000000</v>
      </c>
      <c r="E6" s="10" t="s">
        <v>324</v>
      </c>
    </row>
    <row r="7" customFormat="false" ht="15" hidden="false" customHeight="true" outlineLevel="0" collapsed="false">
      <c r="B7" s="9" t="s">
        <v>325</v>
      </c>
      <c r="C7" s="23" t="n">
        <v>15000000</v>
      </c>
      <c r="E7" s="8" t="s">
        <v>326</v>
      </c>
    </row>
    <row r="8" customFormat="false" ht="15" hidden="false" customHeight="true" outlineLevel="0" collapsed="false">
      <c r="B8" s="9" t="s">
        <v>327</v>
      </c>
      <c r="C8" s="23" t="n">
        <v>10000000</v>
      </c>
      <c r="E8" s="8" t="s">
        <v>328</v>
      </c>
    </row>
    <row r="9" customFormat="false" ht="15" hidden="false" customHeight="true" outlineLevel="0" collapsed="false">
      <c r="B9" s="9" t="s">
        <v>329</v>
      </c>
      <c r="C9" s="23" t="n">
        <v>15000000</v>
      </c>
      <c r="E9" s="10" t="s">
        <v>330</v>
      </c>
    </row>
    <row r="10" customFormat="false" ht="15" hidden="false" customHeight="true" outlineLevel="0" collapsed="false">
      <c r="B10" s="9" t="s">
        <v>331</v>
      </c>
      <c r="C10" s="23" t="n">
        <v>8000000</v>
      </c>
      <c r="E10" s="10" t="s">
        <v>332</v>
      </c>
    </row>
    <row r="11" customFormat="false" ht="15" hidden="false" customHeight="true" outlineLevel="0" collapsed="false">
      <c r="B11" s="6" t="s">
        <v>333</v>
      </c>
      <c r="C11" s="25" t="n">
        <f aca="false">SUM(C6:C10)</f>
        <v>66000000</v>
      </c>
      <c r="E11" s="22"/>
    </row>
    <row r="13" customFormat="false" ht="15" hidden="false" customHeight="true" outlineLevel="0" collapsed="false">
      <c r="B13" s="46" t="s">
        <v>334</v>
      </c>
      <c r="C13" s="64"/>
      <c r="E13" s="46"/>
    </row>
    <row r="14" customFormat="false" ht="15" hidden="false" customHeight="true" outlineLevel="0" collapsed="false">
      <c r="B14" s="9" t="s">
        <v>335</v>
      </c>
      <c r="C14" s="23" t="n">
        <v>12000000</v>
      </c>
      <c r="E14" s="10"/>
    </row>
    <row r="15" customFormat="false" ht="15" hidden="false" customHeight="true" outlineLevel="0" collapsed="false">
      <c r="B15" s="9" t="s">
        <v>336</v>
      </c>
      <c r="C15" s="23" t="n">
        <v>8000000</v>
      </c>
      <c r="E15" s="10"/>
    </row>
    <row r="16" customFormat="false" ht="15" hidden="false" customHeight="true" outlineLevel="0" collapsed="false">
      <c r="B16" s="9" t="s">
        <v>337</v>
      </c>
      <c r="C16" s="23" t="n">
        <v>4000000</v>
      </c>
      <c r="E16" s="10"/>
    </row>
    <row r="17" customFormat="false" ht="15" hidden="false" customHeight="true" outlineLevel="0" collapsed="false">
      <c r="B17" s="9" t="s">
        <v>338</v>
      </c>
      <c r="C17" s="23" t="n">
        <v>6000000</v>
      </c>
      <c r="E17" s="8" t="s">
        <v>339</v>
      </c>
    </row>
    <row r="18" customFormat="false" ht="15" hidden="false" customHeight="true" outlineLevel="0" collapsed="false">
      <c r="B18" s="9" t="s">
        <v>340</v>
      </c>
      <c r="C18" s="23" t="n">
        <v>4000000</v>
      </c>
      <c r="E18" s="8" t="s">
        <v>341</v>
      </c>
    </row>
    <row r="19" customFormat="false" ht="15" hidden="false" customHeight="true" outlineLevel="0" collapsed="false">
      <c r="B19" s="9" t="s">
        <v>342</v>
      </c>
      <c r="C19" s="23" t="n">
        <v>3000000</v>
      </c>
      <c r="E19" s="10"/>
    </row>
    <row r="20" customFormat="false" ht="15" hidden="false" customHeight="true" outlineLevel="0" collapsed="false">
      <c r="B20" s="6" t="s">
        <v>333</v>
      </c>
      <c r="C20" s="25" t="n">
        <f aca="false">SUM(C14:C19)</f>
        <v>37000000</v>
      </c>
      <c r="E20" s="22"/>
    </row>
    <row r="22" customFormat="false" ht="15" hidden="false" customHeight="true" outlineLevel="0" collapsed="false">
      <c r="B22" s="46" t="s">
        <v>343</v>
      </c>
      <c r="C22" s="64"/>
      <c r="E22" s="46"/>
    </row>
    <row r="23" customFormat="false" ht="15" hidden="false" customHeight="true" outlineLevel="0" collapsed="false">
      <c r="B23" s="9" t="s">
        <v>344</v>
      </c>
      <c r="C23" s="23" t="n">
        <v>5000000</v>
      </c>
      <c r="E23" s="8" t="s">
        <v>345</v>
      </c>
    </row>
    <row r="24" customFormat="false" ht="15" hidden="false" customHeight="true" outlineLevel="0" collapsed="false">
      <c r="B24" s="9" t="s">
        <v>346</v>
      </c>
      <c r="C24" s="23" t="n">
        <v>2500000</v>
      </c>
      <c r="E24" s="10"/>
    </row>
    <row r="25" customFormat="false" ht="15" hidden="false" customHeight="true" outlineLevel="0" collapsed="false">
      <c r="B25" s="9" t="s">
        <v>347</v>
      </c>
      <c r="C25" s="23" t="n">
        <v>1000000</v>
      </c>
      <c r="E25" s="10"/>
    </row>
    <row r="26" customFormat="false" ht="15" hidden="false" customHeight="true" outlineLevel="0" collapsed="false">
      <c r="B26" s="9" t="s">
        <v>348</v>
      </c>
      <c r="C26" s="23" t="n">
        <v>4000000</v>
      </c>
      <c r="E26" s="8" t="s">
        <v>349</v>
      </c>
    </row>
    <row r="27" customFormat="false" ht="15" hidden="false" customHeight="true" outlineLevel="0" collapsed="false">
      <c r="B27" s="11" t="s">
        <v>350</v>
      </c>
      <c r="C27" s="23" t="n">
        <v>1000000</v>
      </c>
      <c r="E27" s="10"/>
    </row>
    <row r="28" customFormat="false" ht="15" hidden="false" customHeight="true" outlineLevel="0" collapsed="false">
      <c r="B28" s="9" t="s">
        <v>351</v>
      </c>
      <c r="C28" s="23" t="n">
        <v>1500000</v>
      </c>
      <c r="E28" s="10"/>
    </row>
    <row r="29" customFormat="false" ht="15" hidden="false" customHeight="true" outlineLevel="0" collapsed="false">
      <c r="B29" s="6" t="s">
        <v>333</v>
      </c>
      <c r="C29" s="25" t="n">
        <f aca="false">SUM(C23:C28)</f>
        <v>15000000</v>
      </c>
      <c r="E29" s="22"/>
    </row>
    <row r="31" customFormat="false" ht="16.5" hidden="false" customHeight="true" outlineLevel="0" collapsed="false">
      <c r="B31" s="65" t="s">
        <v>352</v>
      </c>
      <c r="C31" s="66"/>
      <c r="E31" s="65"/>
    </row>
    <row r="32" customFormat="false" ht="24.75" hidden="false" customHeight="true" outlineLevel="0" collapsed="false">
      <c r="B32" s="67" t="s">
        <v>353</v>
      </c>
      <c r="C32" s="68" t="n">
        <v>12000000</v>
      </c>
      <c r="E32" s="8" t="s">
        <v>354</v>
      </c>
    </row>
    <row r="33" customFormat="false" ht="24.75" hidden="false" customHeight="true" outlineLevel="0" collapsed="false">
      <c r="B33" s="67" t="s">
        <v>355</v>
      </c>
      <c r="C33" s="68" t="n">
        <v>5000000</v>
      </c>
      <c r="E33" s="10" t="s">
        <v>356</v>
      </c>
    </row>
    <row r="34" customFormat="false" ht="15" hidden="false" customHeight="true" outlineLevel="0" collapsed="false">
      <c r="B34" s="6" t="s">
        <v>333</v>
      </c>
      <c r="C34" s="25" t="n">
        <f aca="false">SUM(C32:C33)</f>
        <v>17000000</v>
      </c>
      <c r="E34" s="22"/>
    </row>
    <row r="36" customFormat="false" ht="15" hidden="false" customHeight="true" outlineLevel="0" collapsed="false">
      <c r="B36" s="46" t="s">
        <v>357</v>
      </c>
      <c r="C36" s="64"/>
      <c r="E36" s="46"/>
    </row>
    <row r="37" customFormat="false" ht="15" hidden="false" customHeight="true" outlineLevel="0" collapsed="false">
      <c r="B37" s="9" t="s">
        <v>358</v>
      </c>
      <c r="C37" s="23" t="n">
        <v>1000000</v>
      </c>
      <c r="E37" s="8" t="s">
        <v>359</v>
      </c>
    </row>
    <row r="38" customFormat="false" ht="15" hidden="false" customHeight="true" outlineLevel="0" collapsed="false">
      <c r="B38" s="9" t="s">
        <v>360</v>
      </c>
      <c r="C38" s="23" t="n">
        <v>500000</v>
      </c>
      <c r="E38" s="8" t="s">
        <v>361</v>
      </c>
    </row>
    <row r="39" customFormat="false" ht="15" hidden="false" customHeight="true" outlineLevel="0" collapsed="false">
      <c r="B39" s="6" t="s">
        <v>333</v>
      </c>
      <c r="C39" s="25" t="n">
        <f aca="false">SUM(C37:C38)</f>
        <v>1500000</v>
      </c>
      <c r="E39" s="22"/>
    </row>
    <row r="41" customFormat="false" ht="15" hidden="false" customHeight="true" outlineLevel="0" collapsed="false">
      <c r="B41" s="46" t="s">
        <v>362</v>
      </c>
      <c r="C41" s="64"/>
      <c r="E41" s="46"/>
    </row>
    <row r="42" customFormat="false" ht="15" hidden="false" customHeight="true" outlineLevel="0" collapsed="false">
      <c r="B42" s="9" t="s">
        <v>363</v>
      </c>
      <c r="C42" s="23" t="n">
        <v>500000</v>
      </c>
      <c r="E42" s="10"/>
    </row>
    <row r="44" customFormat="false" ht="15" hidden="false" customHeight="true" outlineLevel="0" collapsed="false">
      <c r="B44" s="27" t="s">
        <v>364</v>
      </c>
      <c r="C44" s="69" t="n">
        <f aca="false">C11+C20+C29+C34+C39+C42</f>
        <v>137000000</v>
      </c>
      <c r="E44" s="44" t="s">
        <v>365</v>
      </c>
    </row>
    <row r="46" customFormat="false" ht="15" hidden="false" customHeight="true" outlineLevel="0" collapsed="false">
      <c r="B46" s="9" t="s">
        <v>366</v>
      </c>
      <c r="C46" s="13" t="n">
        <v>120000000</v>
      </c>
      <c r="E46" s="8" t="s">
        <v>367</v>
      </c>
    </row>
    <row r="48" customFormat="false" ht="72" hidden="false" customHeight="true" outlineLevel="0" collapsed="false">
      <c r="B48" s="70" t="s">
        <v>368</v>
      </c>
      <c r="C48" s="70"/>
      <c r="D48" s="70"/>
      <c r="E48" s="70"/>
    </row>
    <row r="49" customFormat="false" ht="31.5" hidden="false" customHeight="true" outlineLevel="0" collapsed="false">
      <c r="B49" s="71" t="s">
        <v>369</v>
      </c>
      <c r="C49" s="71"/>
      <c r="D49" s="71"/>
      <c r="E49" s="71"/>
    </row>
  </sheetData>
  <mergeCells count="4">
    <mergeCell ref="B2:E2"/>
    <mergeCell ref="B3:E3"/>
    <mergeCell ref="B48:E48"/>
    <mergeCell ref="B49:E4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2026-05-31T21:42:39Z</dcterms:created>
  <dc:creator>openpyxl</dc:creator>
  <dc:description/>
  <dc:language>en-US</dc:language>
  <cp:lastModifiedBy/>
  <dcterms:modified xsi:type="dcterms:W3CDTF">2026-06-03T08:01:20Z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