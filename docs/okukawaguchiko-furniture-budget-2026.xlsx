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ミニマム" sheetId="1" r:id="rId5"/>
    <sheet state="visible" name="スタンダード" sheetId="2" r:id="rId6"/>
    <sheet state="visible" name="ラグジュアリー" sheetId="3" r:id="rId7"/>
  </sheets>
  <definedNames/>
  <calcPr/>
</workbook>
</file>

<file path=xl/sharedStrings.xml><?xml version="1.0" encoding="utf-8"?>
<sst xmlns="http://schemas.openxmlformats.org/spreadsheetml/2006/main" count="153" uniqueCount="75">
  <si>
    <t>奥河口湖 備品・設備 初期投資【ミニマム版】</t>
  </si>
  <si>
    <r>
      <rPr>
        <rFont val="Noto Sans CJK SC"/>
        <color rgb="FF666666"/>
        <sz val="9.0"/>
      </rPr>
      <t>本体価格・一次側工事・地盤・浄化槽は別。青字＝変更可。</t>
    </r>
    <r>
      <rPr>
        <rFont val="Arial"/>
        <color rgb="FF666666"/>
        <sz val="9.0"/>
      </rPr>
      <t>0</t>
    </r>
    <r>
      <rPr>
        <rFont val="Noto Sans CJK SC"/>
        <color rgb="FF666666"/>
        <sz val="9.0"/>
      </rPr>
      <t>円＝この版では非採用</t>
    </r>
  </si>
  <si>
    <t>品目</t>
  </si>
  <si>
    <t>単価</t>
  </si>
  <si>
    <t>数量</t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</si>
  <si>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棟小計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</si>
  <si>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棟合計</t>
    </r>
  </si>
  <si>
    <t>備考</t>
  </si>
  <si>
    <t>■ 寝室・寝具</t>
  </si>
  <si>
    <t>ベッド（フレーム＋マットレス）</t>
  </si>
  <si>
    <t>寝具一式（布団・カバー・枕）</t>
  </si>
  <si>
    <t>サイドテーブル・ナイトランプ</t>
  </si>
  <si>
    <t>ソファベッド（補助就寝）</t>
  </si>
  <si>
    <t>■ リビング・くつろぎ</t>
  </si>
  <si>
    <t>ソファ</t>
  </si>
  <si>
    <t>ローテーブル</t>
  </si>
  <si>
    <t>ラグ・カーテン類</t>
  </si>
  <si>
    <t>薪ストーブ（室内）</t>
  </si>
  <si>
    <t>—（この版では非採用）</t>
  </si>
  <si>
    <r>
      <rPr>
        <rFont val="Arial"/>
        <b/>
        <color rgb="FF7A1F2B"/>
        <sz val="10.0"/>
      </rPr>
      <t>■ AV</t>
    </r>
    <r>
      <rPr>
        <rFont val="Noto Sans CJK SC"/>
        <b/>
        <color rgb="FF7A1F2B"/>
        <sz val="10.0"/>
      </rPr>
      <t>・エンタメ（体験差別化）</t>
    </r>
  </si>
  <si>
    <t>プロジェクター（天井投影）</t>
  </si>
  <si>
    <t>電動スクリーン</t>
  </si>
  <si>
    <r>
      <rPr>
        <rFont val="Arial"/>
        <color rgb="FF000000"/>
        <sz val="10.0"/>
      </rPr>
      <t>Bluetooth</t>
    </r>
    <r>
      <rPr>
        <rFont val="Noto Sans CJK SC"/>
        <color rgb="FF000000"/>
        <sz val="10.0"/>
      </rPr>
      <t>スピーカー（防水）</t>
    </r>
  </si>
  <si>
    <r>
      <rPr>
        <rFont val="Arial"/>
        <color rgb="FF000000"/>
        <sz val="10.0"/>
      </rPr>
      <t>Wi-Fi</t>
    </r>
    <r>
      <rPr>
        <rFont val="Noto Sans CJK SC"/>
        <color rgb="FF000000"/>
        <sz val="10.0"/>
      </rPr>
      <t>通信環境</t>
    </r>
  </si>
  <si>
    <t>■ キッチン・水回り</t>
  </si>
  <si>
    <r>
      <rPr>
        <rFont val="Noto Sans CJK SC"/>
        <color rgb="FF000000"/>
        <sz val="10.0"/>
      </rPr>
      <t>ミニキッチン（</t>
    </r>
    <r>
      <rPr>
        <rFont val="Arial"/>
        <color rgb="FF000000"/>
        <sz val="10.0"/>
      </rPr>
      <t>IH</t>
    </r>
    <r>
      <rPr>
        <rFont val="Noto Sans CJK SC"/>
        <color rgb="FF000000"/>
        <sz val="10.0"/>
      </rPr>
      <t>＋シンク）</t>
    </r>
  </si>
  <si>
    <t>冷蔵庫</t>
  </si>
  <si>
    <t>生活家電（レンジ・ケトル等）</t>
  </si>
  <si>
    <t>食器・調理器具一式</t>
  </si>
  <si>
    <t>コーヒー・ワインセラー等</t>
  </si>
  <si>
    <t>■ サウナ・外気浴（勝ち筋の核）</t>
  </si>
  <si>
    <r>
      <rPr>
        <rFont val="Noto Sans CJK SC"/>
        <color rgb="FF000000"/>
        <sz val="10.0"/>
      </rPr>
      <t>サウナストーブ（薪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電気）</t>
    </r>
  </si>
  <si>
    <t>サウナ室造作（断熱・ベンチ）</t>
  </si>
  <si>
    <t>水風呂（バレルバス）</t>
  </si>
  <si>
    <t>チラー（夏の水温管理）</t>
  </si>
  <si>
    <t>ととのい椅子・サウナ備品</t>
  </si>
  <si>
    <t>■ 焚き火・冬の体験</t>
  </si>
  <si>
    <t>焚き火台・薪・チェア</t>
  </si>
  <si>
    <t>デッキヒーター・ブランケット</t>
  </si>
  <si>
    <r>
      <rPr>
        <rFont val="Arial"/>
        <color rgb="FF000000"/>
        <sz val="10.0"/>
      </rPr>
      <t>BBQ</t>
    </r>
    <r>
      <rPr>
        <rFont val="Noto Sans CJK SC"/>
        <color rgb="FF000000"/>
        <sz val="10.0"/>
      </rPr>
      <t>グリル・ディナー用具</t>
    </r>
  </si>
  <si>
    <t>星空観賞備品</t>
  </si>
  <si>
    <t>■ 照明・空調・その他</t>
  </si>
  <si>
    <t>間接照明・デザイン照明</t>
  </si>
  <si>
    <t>エアコン（寒冷地仕様）</t>
  </si>
  <si>
    <t>装飾・小物</t>
  </si>
  <si>
    <t>アメニティ・消耗品（初期）</t>
  </si>
  <si>
    <t>清掃・メンテ用具</t>
  </si>
  <si>
    <t>小計（備品・設備のみ）</t>
  </si>
  <si>
    <r>
      <rPr>
        <rFont val="Noto Sans CJK SC"/>
        <color rgb="FF0000FF"/>
        <sz val="10.0"/>
      </rPr>
      <t>予備費・設置工賃（</t>
    </r>
    <r>
      <rPr>
        <rFont val="Arial"/>
        <color rgb="FF0000FF"/>
        <sz val="10.0"/>
      </rPr>
      <t>10%</t>
    </r>
    <r>
      <rPr>
        <rFont val="Noto Sans CJK SC"/>
        <color rgb="FF0000FF"/>
        <sz val="10.0"/>
      </rPr>
      <t>）</t>
    </r>
  </si>
  <si>
    <t>◎ 合計（備品＋予備費）</t>
  </si>
  <si>
    <r>
      <rPr>
        <rFont val="Arial"/>
        <color rgb="FFF0D8DC"/>
        <sz val="9.0"/>
      </rPr>
      <t>※2</t>
    </r>
    <r>
      <rPr>
        <rFont val="Noto Sans CJK SC"/>
        <color rgb="FFF0D8DC"/>
        <sz val="9.0"/>
      </rPr>
      <t>棟合計</t>
    </r>
  </si>
  <si>
    <t>奥河口湖 備品・設備 初期投資【スタンダード版】</t>
  </si>
  <si>
    <r>
      <rPr>
        <rFont val="Noto Sans CJK SC"/>
        <color rgb="FF666666"/>
        <sz val="9.0"/>
      </rPr>
      <t>本体価格・一次側工事・地盤・浄化槽は別。青字＝変更可。</t>
    </r>
    <r>
      <rPr>
        <rFont val="Arial"/>
        <color rgb="FF666666"/>
        <sz val="9.0"/>
      </rPr>
      <t>0</t>
    </r>
    <r>
      <rPr>
        <rFont val="Noto Sans CJK SC"/>
        <color rgb="FF666666"/>
        <sz val="9.0"/>
      </rPr>
      <t>円＝この版では非採用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</si>
  <si>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棟小計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</si>
  <si>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棟合計</t>
    </r>
  </si>
  <si>
    <r>
      <rPr>
        <rFont val="Arial"/>
        <b/>
        <color rgb="FF7A1F2B"/>
        <sz val="10.0"/>
      </rPr>
      <t>■ AV</t>
    </r>
    <r>
      <rPr>
        <rFont val="Noto Sans CJK SC"/>
        <b/>
        <color rgb="FF7A1F2B"/>
        <sz val="10.0"/>
      </rPr>
      <t>・エンタメ（体験差別化）</t>
    </r>
  </si>
  <si>
    <r>
      <rPr>
        <rFont val="Arial"/>
        <color rgb="FF000000"/>
        <sz val="10.0"/>
      </rPr>
      <t>Bluetooth</t>
    </r>
    <r>
      <rPr>
        <rFont val="Noto Sans CJK SC"/>
        <color rgb="FF000000"/>
        <sz val="10.0"/>
      </rPr>
      <t>スピーカー（防水）</t>
    </r>
  </si>
  <si>
    <r>
      <rPr>
        <rFont val="Arial"/>
        <color rgb="FF000000"/>
        <sz val="10.0"/>
      </rPr>
      <t>Wi-Fi</t>
    </r>
    <r>
      <rPr>
        <rFont val="Noto Sans CJK SC"/>
        <color rgb="FF000000"/>
        <sz val="10.0"/>
      </rPr>
      <t>通信環境</t>
    </r>
  </si>
  <si>
    <r>
      <rPr>
        <rFont val="Noto Sans CJK SC"/>
        <color rgb="FF000000"/>
        <sz val="10.0"/>
      </rPr>
      <t>ミニキッチン（</t>
    </r>
    <r>
      <rPr>
        <rFont val="Arial"/>
        <color rgb="FF000000"/>
        <sz val="10.0"/>
      </rPr>
      <t>IH</t>
    </r>
    <r>
      <rPr>
        <rFont val="Noto Sans CJK SC"/>
        <color rgb="FF000000"/>
        <sz val="10.0"/>
      </rPr>
      <t>＋シンク）</t>
    </r>
  </si>
  <si>
    <r>
      <rPr>
        <rFont val="Noto Sans CJK SC"/>
        <color rgb="FF000000"/>
        <sz val="10.0"/>
      </rPr>
      <t>サウナストーブ（薪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電気）</t>
    </r>
  </si>
  <si>
    <r>
      <rPr>
        <rFont val="Arial"/>
        <color rgb="FF000000"/>
        <sz val="10.0"/>
      </rPr>
      <t>BBQ</t>
    </r>
    <r>
      <rPr>
        <rFont val="Noto Sans CJK SC"/>
        <color rgb="FF000000"/>
        <sz val="10.0"/>
      </rPr>
      <t>グリル・ディナー用具</t>
    </r>
  </si>
  <si>
    <r>
      <rPr>
        <rFont val="Noto Sans CJK SC"/>
        <color rgb="FF0000FF"/>
        <sz val="10.0"/>
      </rPr>
      <t>予備費・設置工賃（</t>
    </r>
    <r>
      <rPr>
        <rFont val="Arial"/>
        <color rgb="FF0000FF"/>
        <sz val="10.0"/>
      </rPr>
      <t>10%</t>
    </r>
    <r>
      <rPr>
        <rFont val="Noto Sans CJK SC"/>
        <color rgb="FF0000FF"/>
        <sz val="10.0"/>
      </rPr>
      <t>）</t>
    </r>
  </si>
  <si>
    <r>
      <rPr>
        <rFont val="Arial"/>
        <color rgb="FFF0D8DC"/>
        <sz val="9.0"/>
      </rPr>
      <t>※2</t>
    </r>
    <r>
      <rPr>
        <rFont val="Noto Sans CJK SC"/>
        <color rgb="FFF0D8DC"/>
        <sz val="9.0"/>
      </rPr>
      <t>棟合計</t>
    </r>
  </si>
  <si>
    <t>奥河口湖 備品・設備 初期投資【ラグジュアリー版】</t>
  </si>
  <si>
    <r>
      <rPr>
        <rFont val="Noto Sans CJK SC"/>
        <color rgb="FF666666"/>
        <sz val="9.0"/>
      </rPr>
      <t>本体価格・一次側工事・地盤・浄化槽は別。青字＝変更可。</t>
    </r>
    <r>
      <rPr>
        <rFont val="Arial"/>
        <color rgb="FF666666"/>
        <sz val="9.0"/>
      </rPr>
      <t>0</t>
    </r>
    <r>
      <rPr>
        <rFont val="Noto Sans CJK SC"/>
        <color rgb="FF666666"/>
        <sz val="9.0"/>
      </rPr>
      <t>円＝この版では非採用</t>
    </r>
  </si>
  <si>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棟小計</t>
    </r>
  </si>
  <si>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棟合計</t>
    </r>
  </si>
  <si>
    <r>
      <rPr>
        <rFont val="Arial"/>
        <b/>
        <color rgb="FF7A1F2B"/>
        <sz val="10.0"/>
      </rPr>
      <t>■ AV</t>
    </r>
    <r>
      <rPr>
        <rFont val="Noto Sans CJK SC"/>
        <b/>
        <color rgb="FF7A1F2B"/>
        <sz val="10.0"/>
      </rPr>
      <t>・エンタメ（体験差別化）</t>
    </r>
  </si>
  <si>
    <r>
      <rPr>
        <rFont val="Arial"/>
        <color rgb="FF000000"/>
        <sz val="10.0"/>
      </rPr>
      <t>Bluetooth</t>
    </r>
    <r>
      <rPr>
        <rFont val="Noto Sans CJK SC"/>
        <color rgb="FF000000"/>
        <sz val="10.0"/>
      </rPr>
      <t>スピーカー（防水）</t>
    </r>
  </si>
  <si>
    <r>
      <rPr>
        <rFont val="Arial"/>
        <color rgb="FF000000"/>
        <sz val="10.0"/>
      </rPr>
      <t>Wi-Fi</t>
    </r>
    <r>
      <rPr>
        <rFont val="Noto Sans CJK SC"/>
        <color rgb="FF000000"/>
        <sz val="10.0"/>
      </rPr>
      <t>通信環境</t>
    </r>
  </si>
  <si>
    <r>
      <rPr>
        <rFont val="Noto Sans CJK SC"/>
        <color rgb="FF000000"/>
        <sz val="10.0"/>
      </rPr>
      <t>ミニキッチン（</t>
    </r>
    <r>
      <rPr>
        <rFont val="Arial"/>
        <color rgb="FF000000"/>
        <sz val="10.0"/>
      </rPr>
      <t>IH</t>
    </r>
    <r>
      <rPr>
        <rFont val="Noto Sans CJK SC"/>
        <color rgb="FF000000"/>
        <sz val="10.0"/>
      </rPr>
      <t>＋シンク）</t>
    </r>
  </si>
  <si>
    <r>
      <rPr>
        <rFont val="Noto Sans CJK SC"/>
        <color rgb="FF000000"/>
        <sz val="10.0"/>
      </rPr>
      <t>サウナストーブ（薪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電気）</t>
    </r>
  </si>
  <si>
    <r>
      <rPr>
        <rFont val="Arial"/>
        <color rgb="FF000000"/>
        <sz val="10.0"/>
      </rPr>
      <t>BBQ</t>
    </r>
    <r>
      <rPr>
        <rFont val="Noto Sans CJK SC"/>
        <color rgb="FF000000"/>
        <sz val="10.0"/>
      </rPr>
      <t>グリル・ディナー用具</t>
    </r>
  </si>
  <si>
    <r>
      <rPr>
        <rFont val="Noto Sans CJK SC"/>
        <color rgb="FF0000FF"/>
        <sz val="10.0"/>
      </rPr>
      <t>予備費・設置工賃（</t>
    </r>
    <r>
      <rPr>
        <rFont val="Arial"/>
        <color rgb="FF0000FF"/>
        <sz val="10.0"/>
      </rPr>
      <t>10%</t>
    </r>
    <r>
      <rPr>
        <rFont val="Noto Sans CJK SC"/>
        <color rgb="FF0000FF"/>
        <sz val="10.0"/>
      </rPr>
      <t>）</t>
    </r>
  </si>
  <si>
    <r>
      <rPr>
        <rFont val="Arial"/>
        <color rgb="FFF0D8DC"/>
        <sz val="9.0"/>
      </rPr>
      <t>※2</t>
    </r>
    <r>
      <rPr>
        <rFont val="Noto Sans CJK SC"/>
        <color rgb="FFF0D8DC"/>
        <sz val="9.0"/>
      </rPr>
      <t>棟合計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</si>
</sst>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円"/>
  </numFmts>
  <fonts count="20">
    <font>
      <sz val="11.0"/>
      <color theme="1"/>
      <name val="Calibri"/>
      <scheme val="minor"/>
    </font>
    <font>
      <b/>
      <sz val="12.0"/>
      <color rgb="FFFFFFFF"/>
      <name val="Noto Sans"/>
    </font>
    <font>
      <sz val="10.0"/>
      <color rgb="FF000000"/>
      <name val="Arial"/>
    </font>
    <font>
      <sz val="9.0"/>
      <color rgb="FF666666"/>
      <name val="Noto Sans"/>
    </font>
    <font>
      <sz val="10.0"/>
      <color rgb="FF666666"/>
      <name val="Arial"/>
    </font>
    <font>
      <b/>
      <sz val="10.0"/>
      <color rgb="FFFFFFFF"/>
      <name val="Noto Sans"/>
    </font>
    <font>
      <b/>
      <sz val="10.0"/>
      <color rgb="FFFFFFFF"/>
      <name val="Arial"/>
    </font>
    <font>
      <b/>
      <sz val="10.0"/>
      <color rgb="FF7A1F2B"/>
      <name val="Noto Sans"/>
    </font>
    <font>
      <sz val="10.0"/>
      <color rgb="FF000000"/>
      <name val="Noto Sans"/>
    </font>
    <font>
      <sz val="10.0"/>
      <color rgb="FF0000FF"/>
      <name val="Arial"/>
    </font>
    <font>
      <sz val="10.0"/>
      <color theme="1"/>
      <name val="Arial"/>
    </font>
    <font>
      <sz val="9.0"/>
      <color rgb="FF999999"/>
      <name val="Arial"/>
    </font>
    <font>
      <sz val="9.0"/>
      <color rgb="FF999999"/>
      <name val="Noto Sans"/>
    </font>
    <font>
      <b/>
      <sz val="10.0"/>
      <color rgb="FF7A1F2B"/>
      <name val="Arial"/>
    </font>
    <font>
      <b/>
      <sz val="10.0"/>
      <color rgb="FF000000"/>
      <name val="Noto Sans"/>
    </font>
    <font>
      <b/>
      <sz val="10.0"/>
      <color theme="1"/>
      <name val="Arial"/>
    </font>
    <font>
      <sz val="10.0"/>
      <color rgb="FF0000FF"/>
      <name val="Noto Sans"/>
    </font>
    <font>
      <b/>
      <sz val="11.0"/>
      <color rgb="FFFFFFFF"/>
      <name val="Noto Sans"/>
    </font>
    <font>
      <b/>
      <sz val="11.0"/>
      <color rgb="FFFFFFFF"/>
      <name val="Arial"/>
    </font>
    <font>
      <sz val="9.0"/>
      <color rgb="FFF0D8D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7A9E87"/>
        <bgColor rgb="FF7A9E87"/>
      </patternFill>
    </fill>
    <fill>
      <patternFill patternType="solid">
        <fgColor rgb="FFFFFFFF"/>
        <bgColor rgb="FFFFFFFF"/>
      </patternFill>
    </fill>
    <fill>
      <patternFill patternType="solid">
        <fgColor rgb="FF2C4A3E"/>
        <bgColor rgb="FF2C4A3E"/>
      </patternFill>
    </fill>
    <fill>
      <patternFill patternType="solid">
        <fgColor rgb="FFF2E4E6"/>
        <bgColor rgb="FFF2E4E6"/>
      </patternFill>
    </fill>
    <fill>
      <patternFill patternType="solid">
        <fgColor rgb="FFF0F0F0"/>
        <bgColor rgb="FFF0F0F0"/>
      </patternFill>
    </fill>
    <fill>
      <patternFill patternType="solid">
        <fgColor rgb="FFFFF3CD"/>
        <bgColor rgb="FFFFF3CD"/>
      </patternFill>
    </fill>
    <fill>
      <patternFill patternType="solid">
        <fgColor rgb="FF7A1F2B"/>
        <bgColor rgb="FF7A1F2B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3" fontId="3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ont="1">
      <alignment horizontal="left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4" fontId="6" numFmtId="0" xfId="0" applyAlignment="1" applyBorder="1" applyFont="1">
      <alignment horizontal="center" shrinkToFit="0" vertical="center" wrapText="0"/>
    </xf>
    <xf borderId="1" fillId="5" fontId="7" numFmtId="0" xfId="0" applyAlignment="1" applyBorder="1" applyFill="1" applyFont="1">
      <alignment horizontal="left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3" fontId="8" numFmtId="0" xfId="0" applyAlignment="1" applyBorder="1" applyFont="1">
      <alignment horizontal="left" shrinkToFit="0" vertical="center" wrapText="1"/>
    </xf>
    <xf borderId="1" fillId="3" fontId="9" numFmtId="164" xfId="0" applyAlignment="1" applyBorder="1" applyFont="1" applyNumberFormat="1">
      <alignment horizontal="right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1" fillId="3" fontId="10" numFmtId="164" xfId="0" applyAlignment="1" applyBorder="1" applyFont="1" applyNumberFormat="1">
      <alignment horizontal="right" shrinkToFit="0" vertical="center" wrapText="0"/>
    </xf>
    <xf borderId="1" fillId="3" fontId="11" numFmtId="0" xfId="0" applyAlignment="1" applyBorder="1" applyFont="1">
      <alignment horizontal="left" shrinkToFit="0" vertical="center" wrapText="0"/>
    </xf>
    <xf borderId="1" fillId="3" fontId="12" numFmtId="0" xfId="0" applyAlignment="1" applyBorder="1" applyFont="1">
      <alignment horizontal="left" shrinkToFit="0" vertical="center" wrapText="0"/>
    </xf>
    <xf borderId="1" fillId="5" fontId="13" numFmtId="0" xfId="0" applyAlignment="1" applyBorder="1" applyFont="1">
      <alignment horizontal="left" shrinkToFit="0" vertical="center" wrapText="0"/>
    </xf>
    <xf borderId="1" fillId="3" fontId="2" numFmtId="0" xfId="0" applyAlignment="1" applyBorder="1" applyFont="1">
      <alignment horizontal="left" shrinkToFit="0" vertical="center" wrapText="1"/>
    </xf>
    <xf borderId="1" fillId="6" fontId="14" numFmtId="0" xfId="0" applyAlignment="1" applyBorder="1" applyFill="1" applyFont="1">
      <alignment horizontal="left" shrinkToFit="0" vertical="center" wrapText="0"/>
    </xf>
    <xf borderId="1" fillId="6" fontId="2" numFmtId="0" xfId="0" applyAlignment="1" applyBorder="1" applyFont="1">
      <alignment horizontal="left" shrinkToFit="0" vertical="center" wrapText="0"/>
    </xf>
    <xf borderId="1" fillId="6" fontId="15" numFmtId="164" xfId="0" applyAlignment="1" applyBorder="1" applyFont="1" applyNumberFormat="1">
      <alignment horizontal="right" shrinkToFit="0" vertical="center" wrapText="0"/>
    </xf>
    <xf borderId="1" fillId="7" fontId="16" numFmtId="0" xfId="0" applyAlignment="1" applyBorder="1" applyFill="1" applyFont="1">
      <alignment horizontal="left" shrinkToFit="0" vertical="center" wrapText="0"/>
    </xf>
    <xf borderId="1" fillId="7" fontId="2" numFmtId="0" xfId="0" applyAlignment="1" applyBorder="1" applyFont="1">
      <alignment horizontal="left" shrinkToFit="0" vertical="center" wrapText="0"/>
    </xf>
    <xf borderId="1" fillId="7" fontId="10" numFmtId="164" xfId="0" applyAlignment="1" applyBorder="1" applyFont="1" applyNumberFormat="1">
      <alignment horizontal="right" shrinkToFit="0" vertical="center" wrapText="0"/>
    </xf>
    <xf borderId="1" fillId="2" fontId="17" numFmtId="0" xfId="0" applyAlignment="1" applyBorder="1" applyFont="1">
      <alignment horizontal="left" shrinkToFit="0" vertical="center" wrapText="0"/>
    </xf>
    <xf borderId="1" fillId="2" fontId="18" numFmtId="164" xfId="0" applyAlignment="1" applyBorder="1" applyFont="1" applyNumberFormat="1">
      <alignment horizontal="right" shrinkToFit="0" vertical="center" wrapText="0"/>
    </xf>
    <xf borderId="1" fillId="2" fontId="19" numFmtId="0" xfId="0" applyAlignment="1" applyBorder="1" applyFont="1">
      <alignment horizontal="left" shrinkToFit="0" vertical="center" wrapText="0"/>
    </xf>
    <xf borderId="1" fillId="4" fontId="1" numFmtId="0" xfId="0" applyAlignment="1" applyBorder="1" applyFont="1">
      <alignment horizontal="left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17" numFmtId="0" xfId="0" applyAlignment="1" applyBorder="1" applyFont="1">
      <alignment horizontal="left" shrinkToFit="0" vertical="center" wrapText="0"/>
    </xf>
    <xf borderId="1" fillId="4" fontId="18" numFmtId="164" xfId="0" applyAlignment="1" applyBorder="1" applyFont="1" applyNumberFormat="1">
      <alignment horizontal="right" shrinkToFit="0" vertical="center" wrapText="0"/>
    </xf>
    <xf borderId="1" fillId="4" fontId="19" numFmtId="0" xfId="0" applyAlignment="1" applyBorder="1" applyFont="1">
      <alignment horizontal="left" shrinkToFit="0" vertical="center" wrapText="0"/>
    </xf>
    <xf borderId="1" fillId="8" fontId="1" numFmtId="0" xfId="0" applyAlignment="1" applyBorder="1" applyFill="1" applyFont="1">
      <alignment horizontal="left" shrinkToFit="0" vertical="center" wrapText="0"/>
    </xf>
    <xf borderId="1" fillId="8" fontId="2" numFmtId="0" xfId="0" applyAlignment="1" applyBorder="1" applyFont="1">
      <alignment horizontal="left" shrinkToFit="0" vertical="center" wrapText="0"/>
    </xf>
    <xf borderId="1" fillId="8" fontId="17" numFmtId="0" xfId="0" applyAlignment="1" applyBorder="1" applyFont="1">
      <alignment horizontal="left" shrinkToFit="0" vertical="center" wrapText="0"/>
    </xf>
    <xf borderId="1" fillId="8" fontId="18" numFmtId="164" xfId="0" applyAlignment="1" applyBorder="1" applyFont="1" applyNumberFormat="1">
      <alignment horizontal="right" shrinkToFit="0" vertical="center" wrapText="0"/>
    </xf>
    <xf borderId="1" fillId="8" fontId="19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.0"/>
    <col customWidth="1" min="3" max="3" width="7.0"/>
    <col customWidth="1" min="4" max="5" width="13.0"/>
    <col customWidth="1" min="6" max="6" width="24.0"/>
    <col customWidth="1" min="7" max="26" width="8.71"/>
  </cols>
  <sheetData>
    <row r="1" ht="25.5" customHeight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/>
      <c r="C2" s="4"/>
      <c r="D2" s="4"/>
      <c r="E2" s="4"/>
      <c r="F2" s="4"/>
    </row>
    <row r="3" ht="19.5" customHeight="1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5" t="s">
        <v>7</v>
      </c>
    </row>
    <row r="4" ht="18.0" customHeight="1">
      <c r="A4" s="7" t="s">
        <v>8</v>
      </c>
      <c r="B4" s="8"/>
      <c r="C4" s="8"/>
      <c r="D4" s="8"/>
      <c r="E4" s="8"/>
      <c r="F4" s="8"/>
    </row>
    <row r="5" ht="19.5" customHeight="1">
      <c r="A5" s="9" t="s">
        <v>9</v>
      </c>
      <c r="B5" s="10">
        <v>80000.0</v>
      </c>
      <c r="C5" s="11">
        <v>1.0</v>
      </c>
      <c r="D5" s="12">
        <f t="shared" ref="D5:D8" si="1">B5*C5</f>
        <v>80000</v>
      </c>
      <c r="E5" s="12">
        <f t="shared" ref="E5:E8" si="2">D5*2</f>
        <v>160000</v>
      </c>
      <c r="F5" s="13"/>
    </row>
    <row r="6" ht="19.5" customHeight="1">
      <c r="A6" s="9" t="s">
        <v>10</v>
      </c>
      <c r="B6" s="10">
        <v>25000.0</v>
      </c>
      <c r="C6" s="11">
        <v>1.0</v>
      </c>
      <c r="D6" s="12">
        <f t="shared" si="1"/>
        <v>25000</v>
      </c>
      <c r="E6" s="12">
        <f t="shared" si="2"/>
        <v>50000</v>
      </c>
      <c r="F6" s="13"/>
    </row>
    <row r="7" ht="19.5" customHeight="1">
      <c r="A7" s="9" t="s">
        <v>11</v>
      </c>
      <c r="B7" s="10">
        <v>8000.0</v>
      </c>
      <c r="C7" s="11">
        <v>2.0</v>
      </c>
      <c r="D7" s="12">
        <f t="shared" si="1"/>
        <v>16000</v>
      </c>
      <c r="E7" s="12">
        <f t="shared" si="2"/>
        <v>32000</v>
      </c>
      <c r="F7" s="13"/>
    </row>
    <row r="8" ht="19.5" customHeight="1">
      <c r="A8" s="9" t="s">
        <v>12</v>
      </c>
      <c r="B8" s="10">
        <v>50000.0</v>
      </c>
      <c r="C8" s="11">
        <v>1.0</v>
      </c>
      <c r="D8" s="12">
        <f t="shared" si="1"/>
        <v>50000</v>
      </c>
      <c r="E8" s="12">
        <f t="shared" si="2"/>
        <v>100000</v>
      </c>
      <c r="F8" s="13"/>
    </row>
    <row r="9" ht="18.0" customHeight="1">
      <c r="A9" s="7" t="s">
        <v>13</v>
      </c>
      <c r="B9" s="8"/>
      <c r="C9" s="8"/>
      <c r="D9" s="8"/>
      <c r="E9" s="8"/>
      <c r="F9" s="8"/>
    </row>
    <row r="10" ht="19.5" customHeight="1">
      <c r="A10" s="9" t="s">
        <v>14</v>
      </c>
      <c r="B10" s="10">
        <v>60000.0</v>
      </c>
      <c r="C10" s="11">
        <v>1.0</v>
      </c>
      <c r="D10" s="12">
        <f t="shared" ref="D10:D13" si="3">B10*C10</f>
        <v>60000</v>
      </c>
      <c r="E10" s="12">
        <f t="shared" ref="E10:E13" si="4">D10*2</f>
        <v>120000</v>
      </c>
      <c r="F10" s="13"/>
    </row>
    <row r="11" ht="19.5" customHeight="1">
      <c r="A11" s="9" t="s">
        <v>15</v>
      </c>
      <c r="B11" s="10">
        <v>20000.0</v>
      </c>
      <c r="C11" s="11">
        <v>1.0</v>
      </c>
      <c r="D11" s="12">
        <f t="shared" si="3"/>
        <v>20000</v>
      </c>
      <c r="E11" s="12">
        <f t="shared" si="4"/>
        <v>40000</v>
      </c>
      <c r="F11" s="13"/>
    </row>
    <row r="12" ht="19.5" customHeight="1">
      <c r="A12" s="9" t="s">
        <v>16</v>
      </c>
      <c r="B12" s="10">
        <v>25000.0</v>
      </c>
      <c r="C12" s="11">
        <v>1.0</v>
      </c>
      <c r="D12" s="12">
        <f t="shared" si="3"/>
        <v>25000</v>
      </c>
      <c r="E12" s="12">
        <f t="shared" si="4"/>
        <v>50000</v>
      </c>
      <c r="F12" s="13"/>
    </row>
    <row r="13" ht="19.5" customHeight="1">
      <c r="A13" s="9" t="s">
        <v>17</v>
      </c>
      <c r="B13" s="10">
        <v>0.0</v>
      </c>
      <c r="C13" s="11">
        <v>1.0</v>
      </c>
      <c r="D13" s="12">
        <f t="shared" si="3"/>
        <v>0</v>
      </c>
      <c r="E13" s="12">
        <f t="shared" si="4"/>
        <v>0</v>
      </c>
      <c r="F13" s="14" t="s">
        <v>18</v>
      </c>
    </row>
    <row r="14" ht="18.0" customHeight="1">
      <c r="A14" s="15" t="s">
        <v>19</v>
      </c>
      <c r="B14" s="8"/>
      <c r="C14" s="8"/>
      <c r="D14" s="8"/>
      <c r="E14" s="8"/>
      <c r="F14" s="8"/>
    </row>
    <row r="15" ht="19.5" customHeight="1">
      <c r="A15" s="9" t="s">
        <v>20</v>
      </c>
      <c r="B15" s="10">
        <v>40000.0</v>
      </c>
      <c r="C15" s="11">
        <v>1.0</v>
      </c>
      <c r="D15" s="12">
        <f t="shared" ref="D15:D18" si="5">B15*C15</f>
        <v>40000</v>
      </c>
      <c r="E15" s="12">
        <f t="shared" ref="E15:E18" si="6">D15*2</f>
        <v>80000</v>
      </c>
      <c r="F15" s="13"/>
    </row>
    <row r="16" ht="19.5" customHeight="1">
      <c r="A16" s="9" t="s">
        <v>21</v>
      </c>
      <c r="B16" s="10">
        <v>20000.0</v>
      </c>
      <c r="C16" s="11">
        <v>1.0</v>
      </c>
      <c r="D16" s="12">
        <f t="shared" si="5"/>
        <v>20000</v>
      </c>
      <c r="E16" s="12">
        <f t="shared" si="6"/>
        <v>40000</v>
      </c>
      <c r="F16" s="13"/>
    </row>
    <row r="17" ht="19.5" customHeight="1">
      <c r="A17" s="16" t="s">
        <v>22</v>
      </c>
      <c r="B17" s="10">
        <v>15000.0</v>
      </c>
      <c r="C17" s="11">
        <v>1.0</v>
      </c>
      <c r="D17" s="12">
        <f t="shared" si="5"/>
        <v>15000</v>
      </c>
      <c r="E17" s="12">
        <f t="shared" si="6"/>
        <v>30000</v>
      </c>
      <c r="F17" s="13"/>
    </row>
    <row r="18" ht="19.5" customHeight="1">
      <c r="A18" s="16" t="s">
        <v>23</v>
      </c>
      <c r="B18" s="10">
        <v>15000.0</v>
      </c>
      <c r="C18" s="11">
        <v>1.0</v>
      </c>
      <c r="D18" s="12">
        <f t="shared" si="5"/>
        <v>15000</v>
      </c>
      <c r="E18" s="12">
        <f t="shared" si="6"/>
        <v>30000</v>
      </c>
      <c r="F18" s="13"/>
    </row>
    <row r="19" ht="18.0" customHeight="1">
      <c r="A19" s="7" t="s">
        <v>24</v>
      </c>
      <c r="B19" s="8"/>
      <c r="C19" s="8"/>
      <c r="D19" s="8"/>
      <c r="E19" s="8"/>
      <c r="F19" s="8"/>
    </row>
    <row r="20" ht="19.5" customHeight="1">
      <c r="A20" s="9" t="s">
        <v>25</v>
      </c>
      <c r="B20" s="10">
        <v>120000.0</v>
      </c>
      <c r="C20" s="11">
        <v>1.0</v>
      </c>
      <c r="D20" s="12">
        <f t="shared" ref="D20:D24" si="7">B20*C20</f>
        <v>120000</v>
      </c>
      <c r="E20" s="12">
        <f t="shared" ref="E20:E24" si="8">D20*2</f>
        <v>240000</v>
      </c>
      <c r="F20" s="13"/>
    </row>
    <row r="21" ht="19.5" customHeight="1">
      <c r="A21" s="9" t="s">
        <v>26</v>
      </c>
      <c r="B21" s="10">
        <v>40000.0</v>
      </c>
      <c r="C21" s="11">
        <v>1.0</v>
      </c>
      <c r="D21" s="12">
        <f t="shared" si="7"/>
        <v>40000</v>
      </c>
      <c r="E21" s="12">
        <f t="shared" si="8"/>
        <v>80000</v>
      </c>
      <c r="F21" s="13"/>
    </row>
    <row r="22" ht="19.5" customHeight="1">
      <c r="A22" s="9" t="s">
        <v>27</v>
      </c>
      <c r="B22" s="10">
        <v>25000.0</v>
      </c>
      <c r="C22" s="11">
        <v>1.0</v>
      </c>
      <c r="D22" s="12">
        <f t="shared" si="7"/>
        <v>25000</v>
      </c>
      <c r="E22" s="12">
        <f t="shared" si="8"/>
        <v>50000</v>
      </c>
      <c r="F22" s="13"/>
    </row>
    <row r="23" ht="19.5" customHeight="1">
      <c r="A23" s="9" t="s">
        <v>28</v>
      </c>
      <c r="B23" s="10">
        <v>25000.0</v>
      </c>
      <c r="C23" s="11">
        <v>1.0</v>
      </c>
      <c r="D23" s="12">
        <f t="shared" si="7"/>
        <v>25000</v>
      </c>
      <c r="E23" s="12">
        <f t="shared" si="8"/>
        <v>50000</v>
      </c>
      <c r="F23" s="13"/>
    </row>
    <row r="24" ht="19.5" customHeight="1">
      <c r="A24" s="9" t="s">
        <v>29</v>
      </c>
      <c r="B24" s="10">
        <v>0.0</v>
      </c>
      <c r="C24" s="11">
        <v>1.0</v>
      </c>
      <c r="D24" s="12">
        <f t="shared" si="7"/>
        <v>0</v>
      </c>
      <c r="E24" s="12">
        <f t="shared" si="8"/>
        <v>0</v>
      </c>
      <c r="F24" s="14" t="s">
        <v>18</v>
      </c>
    </row>
    <row r="25" ht="18.0" customHeight="1">
      <c r="A25" s="7" t="s">
        <v>30</v>
      </c>
      <c r="B25" s="8"/>
      <c r="C25" s="8"/>
      <c r="D25" s="8"/>
      <c r="E25" s="8"/>
      <c r="F25" s="8"/>
    </row>
    <row r="26" ht="19.5" customHeight="1">
      <c r="A26" s="9" t="s">
        <v>31</v>
      </c>
      <c r="B26" s="10">
        <v>150000.0</v>
      </c>
      <c r="C26" s="11">
        <v>1.0</v>
      </c>
      <c r="D26" s="12">
        <f t="shared" ref="D26:D30" si="9">B26*C26</f>
        <v>150000</v>
      </c>
      <c r="E26" s="12">
        <f t="shared" ref="E26:E30" si="10">D26*2</f>
        <v>300000</v>
      </c>
      <c r="F26" s="13"/>
    </row>
    <row r="27" ht="19.5" customHeight="1">
      <c r="A27" s="9" t="s">
        <v>32</v>
      </c>
      <c r="B27" s="10">
        <v>350000.0</v>
      </c>
      <c r="C27" s="11">
        <v>1.0</v>
      </c>
      <c r="D27" s="12">
        <f t="shared" si="9"/>
        <v>350000</v>
      </c>
      <c r="E27" s="12">
        <f t="shared" si="10"/>
        <v>700000</v>
      </c>
      <c r="F27" s="13"/>
    </row>
    <row r="28" ht="19.5" customHeight="1">
      <c r="A28" s="9" t="s">
        <v>33</v>
      </c>
      <c r="B28" s="10">
        <v>120000.0</v>
      </c>
      <c r="C28" s="11">
        <v>1.0</v>
      </c>
      <c r="D28" s="12">
        <f t="shared" si="9"/>
        <v>120000</v>
      </c>
      <c r="E28" s="12">
        <f t="shared" si="10"/>
        <v>240000</v>
      </c>
      <c r="F28" s="13"/>
    </row>
    <row r="29" ht="19.5" customHeight="1">
      <c r="A29" s="9" t="s">
        <v>34</v>
      </c>
      <c r="B29" s="10">
        <v>0.0</v>
      </c>
      <c r="C29" s="11">
        <v>1.0</v>
      </c>
      <c r="D29" s="12">
        <f t="shared" si="9"/>
        <v>0</v>
      </c>
      <c r="E29" s="12">
        <f t="shared" si="10"/>
        <v>0</v>
      </c>
      <c r="F29" s="14" t="s">
        <v>18</v>
      </c>
    </row>
    <row r="30" ht="19.5" customHeight="1">
      <c r="A30" s="9" t="s">
        <v>35</v>
      </c>
      <c r="B30" s="10">
        <v>30000.0</v>
      </c>
      <c r="C30" s="11">
        <v>1.0</v>
      </c>
      <c r="D30" s="12">
        <f t="shared" si="9"/>
        <v>30000</v>
      </c>
      <c r="E30" s="12">
        <f t="shared" si="10"/>
        <v>60000</v>
      </c>
      <c r="F30" s="13"/>
    </row>
    <row r="31" ht="18.0" customHeight="1">
      <c r="A31" s="7" t="s">
        <v>36</v>
      </c>
      <c r="B31" s="8"/>
      <c r="C31" s="8"/>
      <c r="D31" s="8"/>
      <c r="E31" s="8"/>
      <c r="F31" s="8"/>
    </row>
    <row r="32" ht="19.5" customHeight="1">
      <c r="A32" s="9" t="s">
        <v>37</v>
      </c>
      <c r="B32" s="10">
        <v>40000.0</v>
      </c>
      <c r="C32" s="11">
        <v>1.0</v>
      </c>
      <c r="D32" s="12">
        <f t="shared" ref="D32:D35" si="11">B32*C32</f>
        <v>40000</v>
      </c>
      <c r="E32" s="12">
        <f t="shared" ref="E32:E35" si="12">D32*2</f>
        <v>80000</v>
      </c>
      <c r="F32" s="13"/>
    </row>
    <row r="33" ht="19.5" customHeight="1">
      <c r="A33" s="9" t="s">
        <v>38</v>
      </c>
      <c r="B33" s="10">
        <v>30000.0</v>
      </c>
      <c r="C33" s="11">
        <v>1.0</v>
      </c>
      <c r="D33" s="12">
        <f t="shared" si="11"/>
        <v>30000</v>
      </c>
      <c r="E33" s="12">
        <f t="shared" si="12"/>
        <v>60000</v>
      </c>
      <c r="F33" s="13"/>
    </row>
    <row r="34" ht="19.5" customHeight="1">
      <c r="A34" s="16" t="s">
        <v>39</v>
      </c>
      <c r="B34" s="10">
        <v>40000.0</v>
      </c>
      <c r="C34" s="11">
        <v>1.0</v>
      </c>
      <c r="D34" s="12">
        <f t="shared" si="11"/>
        <v>40000</v>
      </c>
      <c r="E34" s="12">
        <f t="shared" si="12"/>
        <v>80000</v>
      </c>
      <c r="F34" s="13"/>
    </row>
    <row r="35" ht="19.5" customHeight="1">
      <c r="A35" s="9" t="s">
        <v>40</v>
      </c>
      <c r="B35" s="10">
        <v>15000.0</v>
      </c>
      <c r="C35" s="11">
        <v>1.0</v>
      </c>
      <c r="D35" s="12">
        <f t="shared" si="11"/>
        <v>15000</v>
      </c>
      <c r="E35" s="12">
        <f t="shared" si="12"/>
        <v>30000</v>
      </c>
      <c r="F35" s="13"/>
    </row>
    <row r="36" ht="18.0" customHeight="1">
      <c r="A36" s="7" t="s">
        <v>41</v>
      </c>
      <c r="B36" s="8"/>
      <c r="C36" s="8"/>
      <c r="D36" s="8"/>
      <c r="E36" s="8"/>
      <c r="F36" s="8"/>
    </row>
    <row r="37" ht="19.5" customHeight="1">
      <c r="A37" s="9" t="s">
        <v>42</v>
      </c>
      <c r="B37" s="10">
        <v>30000.0</v>
      </c>
      <c r="C37" s="11">
        <v>1.0</v>
      </c>
      <c r="D37" s="12">
        <f t="shared" ref="D37:D41" si="13">B37*C37</f>
        <v>30000</v>
      </c>
      <c r="E37" s="12">
        <f t="shared" ref="E37:E41" si="14">D37*2</f>
        <v>60000</v>
      </c>
      <c r="F37" s="13"/>
    </row>
    <row r="38" ht="19.5" customHeight="1">
      <c r="A38" s="9" t="s">
        <v>43</v>
      </c>
      <c r="B38" s="10">
        <v>100000.0</v>
      </c>
      <c r="C38" s="11">
        <v>1.0</v>
      </c>
      <c r="D38" s="12">
        <f t="shared" si="13"/>
        <v>100000</v>
      </c>
      <c r="E38" s="12">
        <f t="shared" si="14"/>
        <v>200000</v>
      </c>
      <c r="F38" s="13"/>
    </row>
    <row r="39" ht="19.5" customHeight="1">
      <c r="A39" s="9" t="s">
        <v>44</v>
      </c>
      <c r="B39" s="10">
        <v>20000.0</v>
      </c>
      <c r="C39" s="11">
        <v>1.0</v>
      </c>
      <c r="D39" s="12">
        <f t="shared" si="13"/>
        <v>20000</v>
      </c>
      <c r="E39" s="12">
        <f t="shared" si="14"/>
        <v>40000</v>
      </c>
      <c r="F39" s="13"/>
    </row>
    <row r="40" ht="19.5" customHeight="1">
      <c r="A40" s="9" t="s">
        <v>45</v>
      </c>
      <c r="B40" s="10">
        <v>30000.0</v>
      </c>
      <c r="C40" s="11">
        <v>1.0</v>
      </c>
      <c r="D40" s="12">
        <f t="shared" si="13"/>
        <v>30000</v>
      </c>
      <c r="E40" s="12">
        <f t="shared" si="14"/>
        <v>60000</v>
      </c>
      <c r="F40" s="13"/>
    </row>
    <row r="41" ht="19.5" customHeight="1">
      <c r="A41" s="9" t="s">
        <v>46</v>
      </c>
      <c r="B41" s="10">
        <v>20000.0</v>
      </c>
      <c r="C41" s="11">
        <v>1.0</v>
      </c>
      <c r="D41" s="12">
        <f t="shared" si="13"/>
        <v>20000</v>
      </c>
      <c r="E41" s="12">
        <f t="shared" si="14"/>
        <v>40000</v>
      </c>
      <c r="F41" s="13"/>
    </row>
    <row r="42" ht="19.5" customHeight="1">
      <c r="A42" s="17" t="s">
        <v>47</v>
      </c>
      <c r="B42" s="18"/>
      <c r="C42" s="18"/>
      <c r="D42" s="19">
        <f t="shared" ref="D42:E42" si="15">SUM(D4:D41)</f>
        <v>1551000</v>
      </c>
      <c r="E42" s="19">
        <f t="shared" si="15"/>
        <v>3102000</v>
      </c>
      <c r="F42" s="18"/>
    </row>
    <row r="43" ht="19.5" customHeight="1">
      <c r="A43" s="20" t="s">
        <v>48</v>
      </c>
      <c r="B43" s="21"/>
      <c r="C43" s="21"/>
      <c r="D43" s="22">
        <f t="shared" ref="D43:E43" si="16">ROUND(D42*0.1,0)</f>
        <v>155100</v>
      </c>
      <c r="E43" s="22">
        <f t="shared" si="16"/>
        <v>310200</v>
      </c>
      <c r="F43" s="21"/>
    </row>
    <row r="44" ht="24.0" customHeight="1">
      <c r="A44" s="23" t="s">
        <v>49</v>
      </c>
      <c r="B44" s="2"/>
      <c r="C44" s="2"/>
      <c r="D44" s="24">
        <f t="shared" ref="D44:E44" si="17">D42+D43</f>
        <v>1706100</v>
      </c>
      <c r="E44" s="24">
        <f t="shared" si="17"/>
        <v>3412200</v>
      </c>
      <c r="F44" s="25" t="s">
        <v>50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.0"/>
    <col customWidth="1" min="3" max="3" width="7.0"/>
    <col customWidth="1" min="4" max="5" width="13.0"/>
    <col customWidth="1" min="6" max="6" width="24.0"/>
    <col customWidth="1" min="7" max="26" width="8.71"/>
  </cols>
  <sheetData>
    <row r="1" ht="25.5" customHeight="1">
      <c r="A1" s="26" t="s">
        <v>51</v>
      </c>
      <c r="B1" s="27"/>
      <c r="C1" s="27"/>
      <c r="D1" s="27"/>
      <c r="E1" s="27"/>
      <c r="F1" s="27"/>
    </row>
    <row r="2">
      <c r="A2" s="3" t="s">
        <v>52</v>
      </c>
      <c r="B2" s="4"/>
      <c r="C2" s="4"/>
      <c r="D2" s="4"/>
      <c r="E2" s="4"/>
      <c r="F2" s="4"/>
    </row>
    <row r="3" ht="19.5" customHeight="1">
      <c r="A3" s="5" t="s">
        <v>2</v>
      </c>
      <c r="B3" s="5" t="s">
        <v>3</v>
      </c>
      <c r="C3" s="5" t="s">
        <v>4</v>
      </c>
      <c r="D3" s="6" t="s">
        <v>53</v>
      </c>
      <c r="E3" s="6" t="s">
        <v>54</v>
      </c>
      <c r="F3" s="5" t="s">
        <v>7</v>
      </c>
    </row>
    <row r="4" ht="18.0" customHeight="1">
      <c r="A4" s="7" t="s">
        <v>8</v>
      </c>
      <c r="B4" s="8"/>
      <c r="C4" s="8"/>
      <c r="D4" s="8"/>
      <c r="E4" s="8"/>
      <c r="F4" s="8"/>
    </row>
    <row r="5" ht="19.5" customHeight="1">
      <c r="A5" s="9" t="s">
        <v>9</v>
      </c>
      <c r="B5" s="10">
        <v>150000.0</v>
      </c>
      <c r="C5" s="11">
        <v>1.0</v>
      </c>
      <c r="D5" s="12">
        <f t="shared" ref="D5:D8" si="1">B5*C5</f>
        <v>150000</v>
      </c>
      <c r="E5" s="12">
        <f t="shared" ref="E5:E8" si="2">D5*2</f>
        <v>300000</v>
      </c>
      <c r="F5" s="13"/>
    </row>
    <row r="6" ht="19.5" customHeight="1">
      <c r="A6" s="9" t="s">
        <v>10</v>
      </c>
      <c r="B6" s="10">
        <v>40000.0</v>
      </c>
      <c r="C6" s="11">
        <v>1.0</v>
      </c>
      <c r="D6" s="12">
        <f t="shared" si="1"/>
        <v>40000</v>
      </c>
      <c r="E6" s="12">
        <f t="shared" si="2"/>
        <v>80000</v>
      </c>
      <c r="F6" s="13"/>
    </row>
    <row r="7" ht="19.5" customHeight="1">
      <c r="A7" s="9" t="s">
        <v>11</v>
      </c>
      <c r="B7" s="10">
        <v>15000.0</v>
      </c>
      <c r="C7" s="11">
        <v>2.0</v>
      </c>
      <c r="D7" s="12">
        <f t="shared" si="1"/>
        <v>30000</v>
      </c>
      <c r="E7" s="12">
        <f t="shared" si="2"/>
        <v>60000</v>
      </c>
      <c r="F7" s="13"/>
    </row>
    <row r="8" ht="19.5" customHeight="1">
      <c r="A8" s="9" t="s">
        <v>12</v>
      </c>
      <c r="B8" s="10">
        <v>90000.0</v>
      </c>
      <c r="C8" s="11">
        <v>1.0</v>
      </c>
      <c r="D8" s="12">
        <f t="shared" si="1"/>
        <v>90000</v>
      </c>
      <c r="E8" s="12">
        <f t="shared" si="2"/>
        <v>180000</v>
      </c>
      <c r="F8" s="13"/>
    </row>
    <row r="9" ht="18.0" customHeight="1">
      <c r="A9" s="7" t="s">
        <v>13</v>
      </c>
      <c r="B9" s="8"/>
      <c r="C9" s="8"/>
      <c r="D9" s="8"/>
      <c r="E9" s="8"/>
      <c r="F9" s="8"/>
    </row>
    <row r="10" ht="19.5" customHeight="1">
      <c r="A10" s="9" t="s">
        <v>14</v>
      </c>
      <c r="B10" s="10">
        <v>120000.0</v>
      </c>
      <c r="C10" s="11">
        <v>1.0</v>
      </c>
      <c r="D10" s="12">
        <f t="shared" ref="D10:D13" si="3">B10*C10</f>
        <v>120000</v>
      </c>
      <c r="E10" s="12">
        <f t="shared" ref="E10:E13" si="4">D10*2</f>
        <v>240000</v>
      </c>
      <c r="F10" s="13"/>
    </row>
    <row r="11" ht="19.5" customHeight="1">
      <c r="A11" s="9" t="s">
        <v>15</v>
      </c>
      <c r="B11" s="10">
        <v>45000.0</v>
      </c>
      <c r="C11" s="11">
        <v>1.0</v>
      </c>
      <c r="D11" s="12">
        <f t="shared" si="3"/>
        <v>45000</v>
      </c>
      <c r="E11" s="12">
        <f t="shared" si="4"/>
        <v>90000</v>
      </c>
      <c r="F11" s="13"/>
    </row>
    <row r="12" ht="19.5" customHeight="1">
      <c r="A12" s="9" t="s">
        <v>16</v>
      </c>
      <c r="B12" s="10">
        <v>50000.0</v>
      </c>
      <c r="C12" s="11">
        <v>1.0</v>
      </c>
      <c r="D12" s="12">
        <f t="shared" si="3"/>
        <v>50000</v>
      </c>
      <c r="E12" s="12">
        <f t="shared" si="4"/>
        <v>100000</v>
      </c>
      <c r="F12" s="13"/>
    </row>
    <row r="13" ht="19.5" customHeight="1">
      <c r="A13" s="9" t="s">
        <v>17</v>
      </c>
      <c r="B13" s="10">
        <v>250000.0</v>
      </c>
      <c r="C13" s="11">
        <v>1.0</v>
      </c>
      <c r="D13" s="12">
        <f t="shared" si="3"/>
        <v>250000</v>
      </c>
      <c r="E13" s="12">
        <f t="shared" si="4"/>
        <v>500000</v>
      </c>
      <c r="F13" s="13"/>
    </row>
    <row r="14" ht="18.0" customHeight="1">
      <c r="A14" s="15" t="s">
        <v>55</v>
      </c>
      <c r="B14" s="8"/>
      <c r="C14" s="8"/>
      <c r="D14" s="8"/>
      <c r="E14" s="8"/>
      <c r="F14" s="8"/>
    </row>
    <row r="15" ht="19.5" customHeight="1">
      <c r="A15" s="9" t="s">
        <v>20</v>
      </c>
      <c r="B15" s="10">
        <v>90000.0</v>
      </c>
      <c r="C15" s="11">
        <v>1.0</v>
      </c>
      <c r="D15" s="12">
        <f t="shared" ref="D15:D18" si="5">B15*C15</f>
        <v>90000</v>
      </c>
      <c r="E15" s="12">
        <f t="shared" ref="E15:E18" si="6">D15*2</f>
        <v>180000</v>
      </c>
      <c r="F15" s="13"/>
    </row>
    <row r="16" ht="19.5" customHeight="1">
      <c r="A16" s="9" t="s">
        <v>21</v>
      </c>
      <c r="B16" s="10">
        <v>40000.0</v>
      </c>
      <c r="C16" s="11">
        <v>1.0</v>
      </c>
      <c r="D16" s="12">
        <f t="shared" si="5"/>
        <v>40000</v>
      </c>
      <c r="E16" s="12">
        <f t="shared" si="6"/>
        <v>80000</v>
      </c>
      <c r="F16" s="13"/>
    </row>
    <row r="17" ht="19.5" customHeight="1">
      <c r="A17" s="16" t="s">
        <v>56</v>
      </c>
      <c r="B17" s="10">
        <v>35000.0</v>
      </c>
      <c r="C17" s="11">
        <v>1.0</v>
      </c>
      <c r="D17" s="12">
        <f t="shared" si="5"/>
        <v>35000</v>
      </c>
      <c r="E17" s="12">
        <f t="shared" si="6"/>
        <v>70000</v>
      </c>
      <c r="F17" s="13"/>
    </row>
    <row r="18" ht="19.5" customHeight="1">
      <c r="A18" s="16" t="s">
        <v>57</v>
      </c>
      <c r="B18" s="10">
        <v>25000.0</v>
      </c>
      <c r="C18" s="11">
        <v>1.0</v>
      </c>
      <c r="D18" s="12">
        <f t="shared" si="5"/>
        <v>25000</v>
      </c>
      <c r="E18" s="12">
        <f t="shared" si="6"/>
        <v>50000</v>
      </c>
      <c r="F18" s="13"/>
    </row>
    <row r="19" ht="18.0" customHeight="1">
      <c r="A19" s="7" t="s">
        <v>24</v>
      </c>
      <c r="B19" s="8"/>
      <c r="C19" s="8"/>
      <c r="D19" s="8"/>
      <c r="E19" s="8"/>
      <c r="F19" s="8"/>
    </row>
    <row r="20" ht="19.5" customHeight="1">
      <c r="A20" s="9" t="s">
        <v>58</v>
      </c>
      <c r="B20" s="10">
        <v>200000.0</v>
      </c>
      <c r="C20" s="11">
        <v>1.0</v>
      </c>
      <c r="D20" s="12">
        <f t="shared" ref="D20:D24" si="7">B20*C20</f>
        <v>200000</v>
      </c>
      <c r="E20" s="12">
        <f t="shared" ref="E20:E24" si="8">D20*2</f>
        <v>400000</v>
      </c>
      <c r="F20" s="13"/>
    </row>
    <row r="21" ht="19.5" customHeight="1">
      <c r="A21" s="9" t="s">
        <v>26</v>
      </c>
      <c r="B21" s="10">
        <v>60000.0</v>
      </c>
      <c r="C21" s="11">
        <v>1.0</v>
      </c>
      <c r="D21" s="12">
        <f t="shared" si="7"/>
        <v>60000</v>
      </c>
      <c r="E21" s="12">
        <f t="shared" si="8"/>
        <v>120000</v>
      </c>
      <c r="F21" s="13"/>
    </row>
    <row r="22" ht="19.5" customHeight="1">
      <c r="A22" s="9" t="s">
        <v>27</v>
      </c>
      <c r="B22" s="10">
        <v>40000.0</v>
      </c>
      <c r="C22" s="11">
        <v>1.0</v>
      </c>
      <c r="D22" s="12">
        <f t="shared" si="7"/>
        <v>40000</v>
      </c>
      <c r="E22" s="12">
        <f t="shared" si="8"/>
        <v>80000</v>
      </c>
      <c r="F22" s="13"/>
    </row>
    <row r="23" ht="19.5" customHeight="1">
      <c r="A23" s="9" t="s">
        <v>28</v>
      </c>
      <c r="B23" s="10">
        <v>50000.0</v>
      </c>
      <c r="C23" s="11">
        <v>1.0</v>
      </c>
      <c r="D23" s="12">
        <f t="shared" si="7"/>
        <v>50000</v>
      </c>
      <c r="E23" s="12">
        <f t="shared" si="8"/>
        <v>100000</v>
      </c>
      <c r="F23" s="13"/>
    </row>
    <row r="24" ht="19.5" customHeight="1">
      <c r="A24" s="9" t="s">
        <v>29</v>
      </c>
      <c r="B24" s="10">
        <v>45000.0</v>
      </c>
      <c r="C24" s="11">
        <v>1.0</v>
      </c>
      <c r="D24" s="12">
        <f t="shared" si="7"/>
        <v>45000</v>
      </c>
      <c r="E24" s="12">
        <f t="shared" si="8"/>
        <v>90000</v>
      </c>
      <c r="F24" s="13"/>
    </row>
    <row r="25" ht="18.0" customHeight="1">
      <c r="A25" s="7" t="s">
        <v>30</v>
      </c>
      <c r="B25" s="8"/>
      <c r="C25" s="8"/>
      <c r="D25" s="8"/>
      <c r="E25" s="8"/>
      <c r="F25" s="8"/>
    </row>
    <row r="26" ht="19.5" customHeight="1">
      <c r="A26" s="9" t="s">
        <v>59</v>
      </c>
      <c r="B26" s="10">
        <v>250000.0</v>
      </c>
      <c r="C26" s="11">
        <v>1.0</v>
      </c>
      <c r="D26" s="12">
        <f t="shared" ref="D26:D30" si="9">B26*C26</f>
        <v>250000</v>
      </c>
      <c r="E26" s="12">
        <f t="shared" ref="E26:E30" si="10">D26*2</f>
        <v>500000</v>
      </c>
      <c r="F26" s="13"/>
    </row>
    <row r="27" ht="19.5" customHeight="1">
      <c r="A27" s="9" t="s">
        <v>32</v>
      </c>
      <c r="B27" s="10">
        <v>600000.0</v>
      </c>
      <c r="C27" s="11">
        <v>1.0</v>
      </c>
      <c r="D27" s="12">
        <f t="shared" si="9"/>
        <v>600000</v>
      </c>
      <c r="E27" s="12">
        <f t="shared" si="10"/>
        <v>1200000</v>
      </c>
      <c r="F27" s="13"/>
    </row>
    <row r="28" ht="19.5" customHeight="1">
      <c r="A28" s="9" t="s">
        <v>33</v>
      </c>
      <c r="B28" s="10">
        <v>250000.0</v>
      </c>
      <c r="C28" s="11">
        <v>1.0</v>
      </c>
      <c r="D28" s="12">
        <f t="shared" si="9"/>
        <v>250000</v>
      </c>
      <c r="E28" s="12">
        <f t="shared" si="10"/>
        <v>500000</v>
      </c>
      <c r="F28" s="13"/>
    </row>
    <row r="29" ht="19.5" customHeight="1">
      <c r="A29" s="9" t="s">
        <v>34</v>
      </c>
      <c r="B29" s="10">
        <v>200000.0</v>
      </c>
      <c r="C29" s="11">
        <v>1.0</v>
      </c>
      <c r="D29" s="12">
        <f t="shared" si="9"/>
        <v>200000</v>
      </c>
      <c r="E29" s="12">
        <f t="shared" si="10"/>
        <v>400000</v>
      </c>
      <c r="F29" s="13"/>
    </row>
    <row r="30" ht="19.5" customHeight="1">
      <c r="A30" s="9" t="s">
        <v>35</v>
      </c>
      <c r="B30" s="10">
        <v>60000.0</v>
      </c>
      <c r="C30" s="11">
        <v>1.0</v>
      </c>
      <c r="D30" s="12">
        <f t="shared" si="9"/>
        <v>60000</v>
      </c>
      <c r="E30" s="12">
        <f t="shared" si="10"/>
        <v>120000</v>
      </c>
      <c r="F30" s="13"/>
    </row>
    <row r="31" ht="18.0" customHeight="1">
      <c r="A31" s="7" t="s">
        <v>36</v>
      </c>
      <c r="B31" s="8"/>
      <c r="C31" s="8"/>
      <c r="D31" s="8"/>
      <c r="E31" s="8"/>
      <c r="F31" s="8"/>
    </row>
    <row r="32" ht="19.5" customHeight="1">
      <c r="A32" s="9" t="s">
        <v>37</v>
      </c>
      <c r="B32" s="10">
        <v>80000.0</v>
      </c>
      <c r="C32" s="11">
        <v>1.0</v>
      </c>
      <c r="D32" s="12">
        <f t="shared" ref="D32:D35" si="11">B32*C32</f>
        <v>80000</v>
      </c>
      <c r="E32" s="12">
        <f t="shared" ref="E32:E35" si="12">D32*2</f>
        <v>160000</v>
      </c>
      <c r="F32" s="13"/>
    </row>
    <row r="33" ht="19.5" customHeight="1">
      <c r="A33" s="9" t="s">
        <v>38</v>
      </c>
      <c r="B33" s="10">
        <v>60000.0</v>
      </c>
      <c r="C33" s="11">
        <v>1.0</v>
      </c>
      <c r="D33" s="12">
        <f t="shared" si="11"/>
        <v>60000</v>
      </c>
      <c r="E33" s="12">
        <f t="shared" si="12"/>
        <v>120000</v>
      </c>
      <c r="F33" s="13"/>
    </row>
    <row r="34" ht="19.5" customHeight="1">
      <c r="A34" s="16" t="s">
        <v>60</v>
      </c>
      <c r="B34" s="10">
        <v>70000.0</v>
      </c>
      <c r="C34" s="11">
        <v>1.0</v>
      </c>
      <c r="D34" s="12">
        <f t="shared" si="11"/>
        <v>70000</v>
      </c>
      <c r="E34" s="12">
        <f t="shared" si="12"/>
        <v>140000</v>
      </c>
      <c r="F34" s="13"/>
    </row>
    <row r="35" ht="19.5" customHeight="1">
      <c r="A35" s="9" t="s">
        <v>40</v>
      </c>
      <c r="B35" s="10">
        <v>30000.0</v>
      </c>
      <c r="C35" s="11">
        <v>1.0</v>
      </c>
      <c r="D35" s="12">
        <f t="shared" si="11"/>
        <v>30000</v>
      </c>
      <c r="E35" s="12">
        <f t="shared" si="12"/>
        <v>60000</v>
      </c>
      <c r="F35" s="13"/>
    </row>
    <row r="36" ht="18.0" customHeight="1">
      <c r="A36" s="7" t="s">
        <v>41</v>
      </c>
      <c r="B36" s="8"/>
      <c r="C36" s="8"/>
      <c r="D36" s="8"/>
      <c r="E36" s="8"/>
      <c r="F36" s="8"/>
    </row>
    <row r="37" ht="19.5" customHeight="1">
      <c r="A37" s="9" t="s">
        <v>42</v>
      </c>
      <c r="B37" s="10">
        <v>60000.0</v>
      </c>
      <c r="C37" s="11">
        <v>1.0</v>
      </c>
      <c r="D37" s="12">
        <f t="shared" ref="D37:D41" si="13">B37*C37</f>
        <v>60000</v>
      </c>
      <c r="E37" s="12">
        <f t="shared" ref="E37:E41" si="14">D37*2</f>
        <v>120000</v>
      </c>
      <c r="F37" s="13"/>
    </row>
    <row r="38" ht="19.5" customHeight="1">
      <c r="A38" s="9" t="s">
        <v>43</v>
      </c>
      <c r="B38" s="10">
        <v>150000.0</v>
      </c>
      <c r="C38" s="11">
        <v>1.0</v>
      </c>
      <c r="D38" s="12">
        <f t="shared" si="13"/>
        <v>150000</v>
      </c>
      <c r="E38" s="12">
        <f t="shared" si="14"/>
        <v>300000</v>
      </c>
      <c r="F38" s="13"/>
    </row>
    <row r="39" ht="19.5" customHeight="1">
      <c r="A39" s="9" t="s">
        <v>44</v>
      </c>
      <c r="B39" s="10">
        <v>40000.0</v>
      </c>
      <c r="C39" s="11">
        <v>1.0</v>
      </c>
      <c r="D39" s="12">
        <f t="shared" si="13"/>
        <v>40000</v>
      </c>
      <c r="E39" s="12">
        <f t="shared" si="14"/>
        <v>80000</v>
      </c>
      <c r="F39" s="13"/>
    </row>
    <row r="40" ht="19.5" customHeight="1">
      <c r="A40" s="9" t="s">
        <v>45</v>
      </c>
      <c r="B40" s="10">
        <v>50000.0</v>
      </c>
      <c r="C40" s="11">
        <v>1.0</v>
      </c>
      <c r="D40" s="12">
        <f t="shared" si="13"/>
        <v>50000</v>
      </c>
      <c r="E40" s="12">
        <f t="shared" si="14"/>
        <v>100000</v>
      </c>
      <c r="F40" s="13"/>
    </row>
    <row r="41" ht="19.5" customHeight="1">
      <c r="A41" s="9" t="s">
        <v>46</v>
      </c>
      <c r="B41" s="10">
        <v>30000.0</v>
      </c>
      <c r="C41" s="11">
        <v>1.0</v>
      </c>
      <c r="D41" s="12">
        <f t="shared" si="13"/>
        <v>30000</v>
      </c>
      <c r="E41" s="12">
        <f t="shared" si="14"/>
        <v>60000</v>
      </c>
      <c r="F41" s="13"/>
    </row>
    <row r="42" ht="19.5" customHeight="1">
      <c r="A42" s="17" t="s">
        <v>47</v>
      </c>
      <c r="B42" s="18"/>
      <c r="C42" s="18"/>
      <c r="D42" s="19">
        <f t="shared" ref="D42:E42" si="15">SUM(D4:D41)</f>
        <v>3290000</v>
      </c>
      <c r="E42" s="19">
        <f t="shared" si="15"/>
        <v>6580000</v>
      </c>
      <c r="F42" s="18"/>
    </row>
    <row r="43" ht="19.5" customHeight="1">
      <c r="A43" s="20" t="s">
        <v>61</v>
      </c>
      <c r="B43" s="21"/>
      <c r="C43" s="21"/>
      <c r="D43" s="22">
        <f t="shared" ref="D43:E43" si="16">ROUND(D42*0.1,0)</f>
        <v>329000</v>
      </c>
      <c r="E43" s="22">
        <f t="shared" si="16"/>
        <v>658000</v>
      </c>
      <c r="F43" s="21"/>
    </row>
    <row r="44" ht="24.0" customHeight="1">
      <c r="A44" s="28" t="s">
        <v>49</v>
      </c>
      <c r="B44" s="27"/>
      <c r="C44" s="27"/>
      <c r="D44" s="29">
        <f t="shared" ref="D44:E44" si="17">D42+D43</f>
        <v>3619000</v>
      </c>
      <c r="E44" s="29">
        <f t="shared" si="17"/>
        <v>7238000</v>
      </c>
      <c r="F44" s="30" t="s">
        <v>62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.0"/>
    <col customWidth="1" min="3" max="3" width="7.0"/>
    <col customWidth="1" min="4" max="5" width="13.0"/>
    <col customWidth="1" min="6" max="6" width="24.0"/>
    <col customWidth="1" min="7" max="26" width="8.71"/>
  </cols>
  <sheetData>
    <row r="1" ht="25.5" customHeight="1">
      <c r="A1" s="31" t="s">
        <v>63</v>
      </c>
      <c r="B1" s="32"/>
      <c r="C1" s="32"/>
      <c r="D1" s="32"/>
      <c r="E1" s="32"/>
      <c r="F1" s="32"/>
    </row>
    <row r="2">
      <c r="A2" s="3" t="s">
        <v>64</v>
      </c>
      <c r="B2" s="4"/>
      <c r="C2" s="4"/>
      <c r="D2" s="4"/>
      <c r="E2" s="4"/>
      <c r="F2" s="4"/>
    </row>
    <row r="3" ht="19.5" customHeight="1">
      <c r="A3" s="5" t="s">
        <v>2</v>
      </c>
      <c r="B3" s="5" t="s">
        <v>3</v>
      </c>
      <c r="C3" s="5" t="s">
        <v>4</v>
      </c>
      <c r="D3" s="6" t="s">
        <v>65</v>
      </c>
      <c r="E3" s="6" t="s">
        <v>66</v>
      </c>
      <c r="F3" s="5" t="s">
        <v>7</v>
      </c>
    </row>
    <row r="4" ht="18.0" customHeight="1">
      <c r="A4" s="7" t="s">
        <v>8</v>
      </c>
      <c r="B4" s="8"/>
      <c r="C4" s="8"/>
      <c r="D4" s="8"/>
      <c r="E4" s="8"/>
      <c r="F4" s="8"/>
    </row>
    <row r="5" ht="19.5" customHeight="1">
      <c r="A5" s="9" t="s">
        <v>9</v>
      </c>
      <c r="B5" s="10">
        <v>350000.0</v>
      </c>
      <c r="C5" s="11">
        <v>1.0</v>
      </c>
      <c r="D5" s="12">
        <f t="shared" ref="D5:D8" si="1">B5*C5</f>
        <v>350000</v>
      </c>
      <c r="E5" s="12">
        <f t="shared" ref="E5:E8" si="2">D5*2</f>
        <v>700000</v>
      </c>
      <c r="F5" s="13"/>
    </row>
    <row r="6" ht="19.5" customHeight="1">
      <c r="A6" s="9" t="s">
        <v>10</v>
      </c>
      <c r="B6" s="10">
        <v>80000.0</v>
      </c>
      <c r="C6" s="11">
        <v>1.0</v>
      </c>
      <c r="D6" s="12">
        <f t="shared" si="1"/>
        <v>80000</v>
      </c>
      <c r="E6" s="12">
        <f t="shared" si="2"/>
        <v>160000</v>
      </c>
      <c r="F6" s="13"/>
    </row>
    <row r="7" ht="19.5" customHeight="1">
      <c r="A7" s="9" t="s">
        <v>11</v>
      </c>
      <c r="B7" s="10">
        <v>30000.0</v>
      </c>
      <c r="C7" s="11">
        <v>2.0</v>
      </c>
      <c r="D7" s="12">
        <f t="shared" si="1"/>
        <v>60000</v>
      </c>
      <c r="E7" s="12">
        <f t="shared" si="2"/>
        <v>120000</v>
      </c>
      <c r="F7" s="13"/>
    </row>
    <row r="8" ht="19.5" customHeight="1">
      <c r="A8" s="9" t="s">
        <v>12</v>
      </c>
      <c r="B8" s="10">
        <v>150000.0</v>
      </c>
      <c r="C8" s="11">
        <v>1.0</v>
      </c>
      <c r="D8" s="12">
        <f t="shared" si="1"/>
        <v>150000</v>
      </c>
      <c r="E8" s="12">
        <f t="shared" si="2"/>
        <v>300000</v>
      </c>
      <c r="F8" s="13"/>
    </row>
    <row r="9" ht="18.0" customHeight="1">
      <c r="A9" s="7" t="s">
        <v>13</v>
      </c>
      <c r="B9" s="8"/>
      <c r="C9" s="8"/>
      <c r="D9" s="8"/>
      <c r="E9" s="8"/>
      <c r="F9" s="8"/>
    </row>
    <row r="10" ht="19.5" customHeight="1">
      <c r="A10" s="9" t="s">
        <v>14</v>
      </c>
      <c r="B10" s="10">
        <v>300000.0</v>
      </c>
      <c r="C10" s="11">
        <v>1.0</v>
      </c>
      <c r="D10" s="12">
        <f t="shared" ref="D10:D13" si="3">B10*C10</f>
        <v>300000</v>
      </c>
      <c r="E10" s="12">
        <f t="shared" ref="E10:E13" si="4">D10*2</f>
        <v>600000</v>
      </c>
      <c r="F10" s="13"/>
    </row>
    <row r="11" ht="19.5" customHeight="1">
      <c r="A11" s="9" t="s">
        <v>15</v>
      </c>
      <c r="B11" s="10">
        <v>100000.0</v>
      </c>
      <c r="C11" s="11">
        <v>1.0</v>
      </c>
      <c r="D11" s="12">
        <f t="shared" si="3"/>
        <v>100000</v>
      </c>
      <c r="E11" s="12">
        <f t="shared" si="4"/>
        <v>200000</v>
      </c>
      <c r="F11" s="13"/>
    </row>
    <row r="12" ht="19.5" customHeight="1">
      <c r="A12" s="9" t="s">
        <v>16</v>
      </c>
      <c r="B12" s="10">
        <v>100000.0</v>
      </c>
      <c r="C12" s="11">
        <v>1.0</v>
      </c>
      <c r="D12" s="12">
        <f t="shared" si="3"/>
        <v>100000</v>
      </c>
      <c r="E12" s="12">
        <f t="shared" si="4"/>
        <v>200000</v>
      </c>
      <c r="F12" s="13"/>
    </row>
    <row r="13" ht="19.5" customHeight="1">
      <c r="A13" s="9" t="s">
        <v>17</v>
      </c>
      <c r="B13" s="10">
        <v>450000.0</v>
      </c>
      <c r="C13" s="11">
        <v>1.0</v>
      </c>
      <c r="D13" s="12">
        <f t="shared" si="3"/>
        <v>450000</v>
      </c>
      <c r="E13" s="12">
        <f t="shared" si="4"/>
        <v>900000</v>
      </c>
      <c r="F13" s="13"/>
    </row>
    <row r="14" ht="18.0" customHeight="1">
      <c r="A14" s="15" t="s">
        <v>67</v>
      </c>
      <c r="B14" s="8"/>
      <c r="C14" s="8"/>
      <c r="D14" s="8"/>
      <c r="E14" s="8"/>
      <c r="F14" s="8"/>
    </row>
    <row r="15" ht="19.5" customHeight="1">
      <c r="A15" s="9" t="s">
        <v>20</v>
      </c>
      <c r="B15" s="10">
        <v>200000.0</v>
      </c>
      <c r="C15" s="11">
        <v>1.0</v>
      </c>
      <c r="D15" s="12">
        <f t="shared" ref="D15:D18" si="5">B15*C15</f>
        <v>200000</v>
      </c>
      <c r="E15" s="12">
        <f t="shared" ref="E15:E18" si="6">D15*2</f>
        <v>400000</v>
      </c>
      <c r="F15" s="13"/>
    </row>
    <row r="16" ht="19.5" customHeight="1">
      <c r="A16" s="9" t="s">
        <v>21</v>
      </c>
      <c r="B16" s="10">
        <v>80000.0</v>
      </c>
      <c r="C16" s="11">
        <v>1.0</v>
      </c>
      <c r="D16" s="12">
        <f t="shared" si="5"/>
        <v>80000</v>
      </c>
      <c r="E16" s="12">
        <f t="shared" si="6"/>
        <v>160000</v>
      </c>
      <c r="F16" s="13"/>
    </row>
    <row r="17" ht="19.5" customHeight="1">
      <c r="A17" s="16" t="s">
        <v>68</v>
      </c>
      <c r="B17" s="10">
        <v>70000.0</v>
      </c>
      <c r="C17" s="11">
        <v>1.0</v>
      </c>
      <c r="D17" s="12">
        <f t="shared" si="5"/>
        <v>70000</v>
      </c>
      <c r="E17" s="12">
        <f t="shared" si="6"/>
        <v>140000</v>
      </c>
      <c r="F17" s="13"/>
    </row>
    <row r="18" ht="19.5" customHeight="1">
      <c r="A18" s="16" t="s">
        <v>69</v>
      </c>
      <c r="B18" s="10">
        <v>40000.0</v>
      </c>
      <c r="C18" s="11">
        <v>1.0</v>
      </c>
      <c r="D18" s="12">
        <f t="shared" si="5"/>
        <v>40000</v>
      </c>
      <c r="E18" s="12">
        <f t="shared" si="6"/>
        <v>80000</v>
      </c>
      <c r="F18" s="13"/>
    </row>
    <row r="19" ht="18.0" customHeight="1">
      <c r="A19" s="7" t="s">
        <v>24</v>
      </c>
      <c r="B19" s="8"/>
      <c r="C19" s="8"/>
      <c r="D19" s="8"/>
      <c r="E19" s="8"/>
      <c r="F19" s="8"/>
    </row>
    <row r="20" ht="19.5" customHeight="1">
      <c r="A20" s="9" t="s">
        <v>70</v>
      </c>
      <c r="B20" s="10">
        <v>400000.0</v>
      </c>
      <c r="C20" s="11">
        <v>1.0</v>
      </c>
      <c r="D20" s="12">
        <f t="shared" ref="D20:D24" si="7">B20*C20</f>
        <v>400000</v>
      </c>
      <c r="E20" s="12">
        <f t="shared" ref="E20:E24" si="8">D20*2</f>
        <v>800000</v>
      </c>
      <c r="F20" s="13"/>
    </row>
    <row r="21" ht="19.5" customHeight="1">
      <c r="A21" s="9" t="s">
        <v>26</v>
      </c>
      <c r="B21" s="10">
        <v>120000.0</v>
      </c>
      <c r="C21" s="11">
        <v>1.0</v>
      </c>
      <c r="D21" s="12">
        <f t="shared" si="7"/>
        <v>120000</v>
      </c>
      <c r="E21" s="12">
        <f t="shared" si="8"/>
        <v>240000</v>
      </c>
      <c r="F21" s="13"/>
    </row>
    <row r="22" ht="19.5" customHeight="1">
      <c r="A22" s="9" t="s">
        <v>27</v>
      </c>
      <c r="B22" s="10">
        <v>70000.0</v>
      </c>
      <c r="C22" s="11">
        <v>1.0</v>
      </c>
      <c r="D22" s="12">
        <f t="shared" si="7"/>
        <v>70000</v>
      </c>
      <c r="E22" s="12">
        <f t="shared" si="8"/>
        <v>140000</v>
      </c>
      <c r="F22" s="13"/>
    </row>
    <row r="23" ht="19.5" customHeight="1">
      <c r="A23" s="9" t="s">
        <v>28</v>
      </c>
      <c r="B23" s="10">
        <v>120000.0</v>
      </c>
      <c r="C23" s="11">
        <v>1.0</v>
      </c>
      <c r="D23" s="12">
        <f t="shared" si="7"/>
        <v>120000</v>
      </c>
      <c r="E23" s="12">
        <f t="shared" si="8"/>
        <v>240000</v>
      </c>
      <c r="F23" s="13"/>
    </row>
    <row r="24" ht="19.5" customHeight="1">
      <c r="A24" s="9" t="s">
        <v>29</v>
      </c>
      <c r="B24" s="10">
        <v>120000.0</v>
      </c>
      <c r="C24" s="11">
        <v>1.0</v>
      </c>
      <c r="D24" s="12">
        <f t="shared" si="7"/>
        <v>120000</v>
      </c>
      <c r="E24" s="12">
        <f t="shared" si="8"/>
        <v>240000</v>
      </c>
      <c r="F24" s="13"/>
    </row>
    <row r="25" ht="18.0" customHeight="1">
      <c r="A25" s="7" t="s">
        <v>30</v>
      </c>
      <c r="B25" s="8"/>
      <c r="C25" s="8"/>
      <c r="D25" s="8"/>
      <c r="E25" s="8"/>
      <c r="F25" s="8"/>
    </row>
    <row r="26" ht="19.5" customHeight="1">
      <c r="A26" s="9" t="s">
        <v>71</v>
      </c>
      <c r="B26" s="10">
        <v>450000.0</v>
      </c>
      <c r="C26" s="11">
        <v>1.0</v>
      </c>
      <c r="D26" s="12">
        <f t="shared" ref="D26:D30" si="9">B26*C26</f>
        <v>450000</v>
      </c>
      <c r="E26" s="12">
        <f t="shared" ref="E26:E30" si="10">D26*2</f>
        <v>900000</v>
      </c>
      <c r="F26" s="13"/>
    </row>
    <row r="27" ht="19.5" customHeight="1">
      <c r="A27" s="9" t="s">
        <v>32</v>
      </c>
      <c r="B27" s="10">
        <v>1000000.0</v>
      </c>
      <c r="C27" s="11">
        <v>1.0</v>
      </c>
      <c r="D27" s="12">
        <f t="shared" si="9"/>
        <v>1000000</v>
      </c>
      <c r="E27" s="12">
        <f t="shared" si="10"/>
        <v>2000000</v>
      </c>
      <c r="F27" s="13"/>
    </row>
    <row r="28" ht="19.5" customHeight="1">
      <c r="A28" s="9" t="s">
        <v>33</v>
      </c>
      <c r="B28" s="10">
        <v>500000.0</v>
      </c>
      <c r="C28" s="11">
        <v>1.0</v>
      </c>
      <c r="D28" s="12">
        <f t="shared" si="9"/>
        <v>500000</v>
      </c>
      <c r="E28" s="12">
        <f t="shared" si="10"/>
        <v>1000000</v>
      </c>
      <c r="F28" s="13"/>
    </row>
    <row r="29" ht="19.5" customHeight="1">
      <c r="A29" s="9" t="s">
        <v>34</v>
      </c>
      <c r="B29" s="10">
        <v>350000.0</v>
      </c>
      <c r="C29" s="11">
        <v>1.0</v>
      </c>
      <c r="D29" s="12">
        <f t="shared" si="9"/>
        <v>350000</v>
      </c>
      <c r="E29" s="12">
        <f t="shared" si="10"/>
        <v>700000</v>
      </c>
      <c r="F29" s="13"/>
    </row>
    <row r="30" ht="19.5" customHeight="1">
      <c r="A30" s="9" t="s">
        <v>35</v>
      </c>
      <c r="B30" s="10">
        <v>150000.0</v>
      </c>
      <c r="C30" s="11">
        <v>1.0</v>
      </c>
      <c r="D30" s="12">
        <f t="shared" si="9"/>
        <v>150000</v>
      </c>
      <c r="E30" s="12">
        <f t="shared" si="10"/>
        <v>300000</v>
      </c>
      <c r="F30" s="13"/>
    </row>
    <row r="31" ht="18.0" customHeight="1">
      <c r="A31" s="7" t="s">
        <v>36</v>
      </c>
      <c r="B31" s="8"/>
      <c r="C31" s="8"/>
      <c r="D31" s="8"/>
      <c r="E31" s="8"/>
      <c r="F31" s="8"/>
    </row>
    <row r="32" ht="19.5" customHeight="1">
      <c r="A32" s="9" t="s">
        <v>37</v>
      </c>
      <c r="B32" s="10">
        <v>180000.0</v>
      </c>
      <c r="C32" s="11">
        <v>1.0</v>
      </c>
      <c r="D32" s="12">
        <f t="shared" ref="D32:D35" si="11">B32*C32</f>
        <v>180000</v>
      </c>
      <c r="E32" s="12">
        <f t="shared" ref="E32:E35" si="12">D32*2</f>
        <v>360000</v>
      </c>
      <c r="F32" s="13"/>
    </row>
    <row r="33" ht="19.5" customHeight="1">
      <c r="A33" s="9" t="s">
        <v>38</v>
      </c>
      <c r="B33" s="10">
        <v>150000.0</v>
      </c>
      <c r="C33" s="11">
        <v>1.0</v>
      </c>
      <c r="D33" s="12">
        <f t="shared" si="11"/>
        <v>150000</v>
      </c>
      <c r="E33" s="12">
        <f t="shared" si="12"/>
        <v>300000</v>
      </c>
      <c r="F33" s="13"/>
    </row>
    <row r="34" ht="19.5" customHeight="1">
      <c r="A34" s="16" t="s">
        <v>72</v>
      </c>
      <c r="B34" s="10">
        <v>180000.0</v>
      </c>
      <c r="C34" s="11">
        <v>1.0</v>
      </c>
      <c r="D34" s="12">
        <f t="shared" si="11"/>
        <v>180000</v>
      </c>
      <c r="E34" s="12">
        <f t="shared" si="12"/>
        <v>360000</v>
      </c>
      <c r="F34" s="13"/>
    </row>
    <row r="35" ht="19.5" customHeight="1">
      <c r="A35" s="9" t="s">
        <v>40</v>
      </c>
      <c r="B35" s="10">
        <v>70000.0</v>
      </c>
      <c r="C35" s="11">
        <v>1.0</v>
      </c>
      <c r="D35" s="12">
        <f t="shared" si="11"/>
        <v>70000</v>
      </c>
      <c r="E35" s="12">
        <f t="shared" si="12"/>
        <v>140000</v>
      </c>
      <c r="F35" s="13"/>
    </row>
    <row r="36" ht="18.0" customHeight="1">
      <c r="A36" s="7" t="s">
        <v>41</v>
      </c>
      <c r="B36" s="8"/>
      <c r="C36" s="8"/>
      <c r="D36" s="8"/>
      <c r="E36" s="8"/>
      <c r="F36" s="8"/>
    </row>
    <row r="37" ht="19.5" customHeight="1">
      <c r="A37" s="9" t="s">
        <v>42</v>
      </c>
      <c r="B37" s="10">
        <v>150000.0</v>
      </c>
      <c r="C37" s="11">
        <v>1.0</v>
      </c>
      <c r="D37" s="12">
        <f t="shared" ref="D37:D41" si="13">B37*C37</f>
        <v>150000</v>
      </c>
      <c r="E37" s="12">
        <f t="shared" ref="E37:E41" si="14">D37*2</f>
        <v>300000</v>
      </c>
      <c r="F37" s="13"/>
    </row>
    <row r="38" ht="19.5" customHeight="1">
      <c r="A38" s="9" t="s">
        <v>43</v>
      </c>
      <c r="B38" s="10">
        <v>250000.0</v>
      </c>
      <c r="C38" s="11">
        <v>1.0</v>
      </c>
      <c r="D38" s="12">
        <f t="shared" si="13"/>
        <v>250000</v>
      </c>
      <c r="E38" s="12">
        <f t="shared" si="14"/>
        <v>500000</v>
      </c>
      <c r="F38" s="13"/>
    </row>
    <row r="39" ht="19.5" customHeight="1">
      <c r="A39" s="9" t="s">
        <v>44</v>
      </c>
      <c r="B39" s="10">
        <v>120000.0</v>
      </c>
      <c r="C39" s="11">
        <v>1.0</v>
      </c>
      <c r="D39" s="12">
        <f t="shared" si="13"/>
        <v>120000</v>
      </c>
      <c r="E39" s="12">
        <f t="shared" si="14"/>
        <v>240000</v>
      </c>
      <c r="F39" s="13"/>
    </row>
    <row r="40" ht="19.5" customHeight="1">
      <c r="A40" s="9" t="s">
        <v>45</v>
      </c>
      <c r="B40" s="10">
        <v>120000.0</v>
      </c>
      <c r="C40" s="11">
        <v>1.0</v>
      </c>
      <c r="D40" s="12">
        <f t="shared" si="13"/>
        <v>120000</v>
      </c>
      <c r="E40" s="12">
        <f t="shared" si="14"/>
        <v>240000</v>
      </c>
      <c r="F40" s="13"/>
    </row>
    <row r="41" ht="19.5" customHeight="1">
      <c r="A41" s="9" t="s">
        <v>46</v>
      </c>
      <c r="B41" s="10">
        <v>50000.0</v>
      </c>
      <c r="C41" s="11">
        <v>1.0</v>
      </c>
      <c r="D41" s="12">
        <f t="shared" si="13"/>
        <v>50000</v>
      </c>
      <c r="E41" s="12">
        <f t="shared" si="14"/>
        <v>100000</v>
      </c>
      <c r="F41" s="13"/>
    </row>
    <row r="42" ht="19.5" customHeight="1">
      <c r="A42" s="17" t="s">
        <v>47</v>
      </c>
      <c r="B42" s="18"/>
      <c r="C42" s="18"/>
      <c r="D42" s="19">
        <f t="shared" ref="D42:E42" si="15">SUM(D4:D41)</f>
        <v>6530000</v>
      </c>
      <c r="E42" s="19">
        <f t="shared" si="15"/>
        <v>13060000</v>
      </c>
      <c r="F42" s="18"/>
    </row>
    <row r="43" ht="19.5" customHeight="1">
      <c r="A43" s="20" t="s">
        <v>73</v>
      </c>
      <c r="B43" s="21"/>
      <c r="C43" s="21"/>
      <c r="D43" s="22">
        <f t="shared" ref="D43:E43" si="16">ROUND(D42*0.1,0)</f>
        <v>653000</v>
      </c>
      <c r="E43" s="22">
        <f t="shared" si="16"/>
        <v>1306000</v>
      </c>
      <c r="F43" s="21"/>
    </row>
    <row r="44" ht="24.0" customHeight="1">
      <c r="A44" s="33" t="s">
        <v>49</v>
      </c>
      <c r="B44" s="32"/>
      <c r="C44" s="32"/>
      <c r="D44" s="34">
        <f t="shared" ref="D44:E44" si="17">D42+D43</f>
        <v>7183000</v>
      </c>
      <c r="E44" s="34">
        <f t="shared" si="17"/>
        <v>14366000</v>
      </c>
      <c r="F44" s="35" t="s">
        <v>74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