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前提" sheetId="1" state="visible" r:id="rId3"/>
    <sheet name="季節別単価" sheetId="2" state="visible" r:id="rId4"/>
    <sheet name="年間収支" sheetId="3" state="visible" r:id="rId5"/>
    <sheet name="シナリオ比較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<sst xmlns="http://schemas.openxmlformats.org/spreadsheetml/2006/main" count="100" uniqueCount="96">
  <si>
    <t xml:space="preserve">南千歳ヴィラ 民泊収支モデル</t>
  </si>
  <si>
    <r>
      <rPr>
        <i val="true"/>
        <sz val="9"/>
        <color rgb="FF666666"/>
        <rFont val="Noto Sans CJK SC"/>
        <family val="2"/>
      </rPr>
      <t xml:space="preserve">北海道千歳市柏陽</t>
    </r>
    <r>
      <rPr>
        <i val="true"/>
        <sz val="9"/>
        <color rgb="FF666666"/>
        <rFont val="Arial"/>
        <family val="0"/>
        <charset val="1"/>
      </rPr>
      <t xml:space="preserve">5</t>
    </r>
    <r>
      <rPr>
        <i val="true"/>
        <sz val="9"/>
        <color rgb="FF666666"/>
        <rFont val="Noto Sans CJK SC"/>
        <family val="2"/>
      </rPr>
      <t xml:space="preserve">丁目</t>
    </r>
    <r>
      <rPr>
        <i val="true"/>
        <sz val="9"/>
        <color rgb="FF666666"/>
        <rFont val="Arial"/>
        <family val="0"/>
        <charset val="1"/>
      </rPr>
      <t xml:space="preserve">1-3 </t>
    </r>
    <r>
      <rPr>
        <i val="true"/>
        <sz val="9"/>
        <color rgb="FF666666"/>
        <rFont val="Noto Sans CJK SC"/>
        <family val="2"/>
      </rPr>
      <t xml:space="preserve">／ </t>
    </r>
    <r>
      <rPr>
        <i val="true"/>
        <sz val="9"/>
        <color rgb="FF666666"/>
        <rFont val="Arial"/>
        <family val="0"/>
        <charset val="1"/>
      </rPr>
      <t xml:space="preserve">10</t>
    </r>
    <r>
      <rPr>
        <i val="true"/>
        <sz val="9"/>
        <color rgb="FF666666"/>
        <rFont val="Noto Sans CJK SC"/>
        <family val="2"/>
      </rPr>
      <t xml:space="preserve">ベッド・サウナ・</t>
    </r>
    <r>
      <rPr>
        <i val="true"/>
        <sz val="9"/>
        <color rgb="FF666666"/>
        <rFont val="Arial"/>
        <family val="0"/>
        <charset val="1"/>
      </rPr>
      <t xml:space="preserve">BBQ </t>
    </r>
    <r>
      <rPr>
        <i val="true"/>
        <sz val="9"/>
        <color rgb="FF666666"/>
        <rFont val="Noto Sans CJK SC"/>
        <family val="2"/>
      </rPr>
      <t xml:space="preserve">／ 一棟貸し</t>
    </r>
  </si>
  <si>
    <r>
      <rPr>
        <i val="true"/>
        <sz val="9"/>
        <color rgb="FF666666"/>
        <rFont val="Noto Sans CJK SC"/>
        <family val="2"/>
      </rPr>
      <t xml:space="preserve">住居専用地域：金正午〜日正午のみ営業（週</t>
    </r>
    <r>
      <rPr>
        <i val="true"/>
        <sz val="9"/>
        <color rgb="FF666666"/>
        <rFont val="Arial"/>
        <family val="0"/>
        <charset val="1"/>
      </rPr>
      <t xml:space="preserve">2</t>
    </r>
    <r>
      <rPr>
        <i val="true"/>
        <sz val="9"/>
        <color rgb="FF666666"/>
        <rFont val="Noto Sans CJK SC"/>
        <family val="2"/>
      </rPr>
      <t xml:space="preserve">泊）＝年間営業上限 約</t>
    </r>
    <r>
      <rPr>
        <i val="true"/>
        <sz val="9"/>
        <color rgb="FF666666"/>
        <rFont val="Arial"/>
        <family val="0"/>
        <charset val="1"/>
      </rPr>
      <t xml:space="preserve">104</t>
    </r>
    <r>
      <rPr>
        <i val="true"/>
        <sz val="9"/>
        <color rgb="FF666666"/>
        <rFont val="Noto Sans CJK SC"/>
        <family val="2"/>
      </rPr>
      <t xml:space="preserve">泊</t>
    </r>
  </si>
  <si>
    <t xml:space="preserve">■ 共通前提</t>
  </si>
  <si>
    <t xml:space="preserve">年間営業上限</t>
  </si>
  <si>
    <t xml:space="preserve">泊</t>
  </si>
  <si>
    <t xml:space="preserve">住居専用地域 週末規制（金正午〜日正午）</t>
  </si>
  <si>
    <t xml:space="preserve">定員</t>
  </si>
  <si>
    <t xml:space="preserve">名</t>
  </si>
  <si>
    <r>
      <rPr>
        <i val="true"/>
        <sz val="9"/>
        <color rgb="FF666666"/>
        <rFont val="Arial"/>
        <family val="0"/>
        <charset val="1"/>
      </rPr>
      <t xml:space="preserve">10</t>
    </r>
    <r>
      <rPr>
        <i val="true"/>
        <sz val="9"/>
        <color rgb="FF666666"/>
        <rFont val="Noto Sans CJK SC"/>
        <family val="2"/>
      </rPr>
      <t xml:space="preserve">ベッド</t>
    </r>
  </si>
  <si>
    <r>
      <rPr>
        <sz val="10"/>
        <color rgb="FF000000"/>
        <rFont val="Noto Sans CJK SC"/>
        <family val="2"/>
      </rPr>
      <t xml:space="preserve">清掃費（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回あたり）</t>
    </r>
  </si>
  <si>
    <r>
      <rPr>
        <sz val="10"/>
        <color rgb="FF000000"/>
        <rFont val="Noto Sans CJK SC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回</t>
    </r>
  </si>
  <si>
    <r>
      <rPr>
        <i val="true"/>
        <sz val="9"/>
        <color rgb="FF666666"/>
        <rFont val="Noto Sans CJK SC"/>
        <family val="2"/>
      </rPr>
      <t xml:space="preserve">ハウスクリーニング外注。稼働</t>
    </r>
    <r>
      <rPr>
        <i val="true"/>
        <sz val="9"/>
        <color rgb="FF666666"/>
        <rFont val="Arial"/>
        <family val="0"/>
        <charset val="1"/>
      </rPr>
      <t xml:space="preserve">1</t>
    </r>
    <r>
      <rPr>
        <i val="true"/>
        <sz val="9"/>
        <color rgb="FF666666"/>
        <rFont val="Noto Sans CJK SC"/>
        <family val="2"/>
      </rPr>
      <t xml:space="preserve">泊ごとに発生</t>
    </r>
  </si>
  <si>
    <t xml:space="preserve">ライト委託費（月額固定）</t>
  </si>
  <si>
    <r>
      <rPr>
        <sz val="10"/>
        <color rgb="FF000000"/>
        <rFont val="Noto Sans CJK SC"/>
        <family val="2"/>
      </rPr>
      <t xml:space="preserve">円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月</t>
    </r>
  </si>
  <si>
    <r>
      <rPr>
        <i val="true"/>
        <sz val="9"/>
        <color rgb="FF666666"/>
        <rFont val="Arial"/>
        <family val="0"/>
        <charset val="1"/>
      </rPr>
      <t xml:space="preserve">B</t>
    </r>
    <r>
      <rPr>
        <i val="true"/>
        <sz val="9"/>
        <color rgb="FF666666"/>
        <rFont val="Noto Sans CJK SC"/>
        <family val="2"/>
      </rPr>
      <t xml:space="preserve">スタート：名義＋管理責任のみ。実務は自社</t>
    </r>
  </si>
  <si>
    <t xml:space="preserve">消耗品・アメニティ（売上比）</t>
  </si>
  <si>
    <t xml:space="preserve">%</t>
  </si>
  <si>
    <t xml:space="preserve">リネン・備品・ゲスト用消耗品</t>
  </si>
  <si>
    <r>
      <rPr>
        <sz val="10"/>
        <color rgb="FF000000"/>
        <rFont val="Arial"/>
        <family val="0"/>
        <charset val="1"/>
      </rPr>
      <t xml:space="preserve">OTA</t>
    </r>
    <r>
      <rPr>
        <sz val="10"/>
        <color rgb="FF000000"/>
        <rFont val="Noto Sans CJK SC"/>
        <family val="2"/>
      </rPr>
      <t xml:space="preserve">手数料（売上比）</t>
    </r>
  </si>
  <si>
    <r>
      <rPr>
        <i val="true"/>
        <sz val="9"/>
        <color rgb="FF666666"/>
        <rFont val="Arial"/>
        <family val="0"/>
        <charset val="1"/>
      </rPr>
      <t xml:space="preserve">Airbnb</t>
    </r>
    <r>
      <rPr>
        <i val="true"/>
        <sz val="9"/>
        <color rgb="FF666666"/>
        <rFont val="Noto Sans CJK SC"/>
        <family val="2"/>
      </rPr>
      <t xml:space="preserve">等プラットフォーム手数料</t>
    </r>
  </si>
  <si>
    <t xml:space="preserve">水道光熱費（月額固定）</t>
  </si>
  <si>
    <t xml:space="preserve">冬季暖房・サウナで増。年間ならし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</si>
  <si>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登録後の委託費</t>
    </r>
  </si>
  <si>
    <t xml:space="preserve">管理業者登録完了後は委託費ゼロ（自社管理）</t>
  </si>
  <si>
    <t xml:space="preserve">※ 黄色セル＝変更可能な前提値（ブルー字）。シナリオはここを動かす。</t>
  </si>
  <si>
    <t xml:space="preserve">季節別ダイナミックプライシング</t>
  </si>
  <si>
    <r>
      <rPr>
        <i val="true"/>
        <sz val="9"/>
        <color rgb="FF666666"/>
        <rFont val="Noto Sans CJK SC"/>
        <family val="2"/>
      </rPr>
      <t xml:space="preserve">北海道の一棟貸しは冬（スキー・年末年始・インバウンド）がピーク。夏冬で単価</t>
    </r>
    <r>
      <rPr>
        <i val="true"/>
        <sz val="9"/>
        <color rgb="FF666666"/>
        <rFont val="Arial"/>
        <family val="0"/>
        <charset val="1"/>
      </rPr>
      <t xml:space="preserve">2</t>
    </r>
    <r>
      <rPr>
        <i val="true"/>
        <sz val="9"/>
        <color rgb="FF666666"/>
        <rFont val="Noto Sans CJK SC"/>
        <family val="2"/>
      </rPr>
      <t xml:space="preserve">倍超の差をつける。</t>
    </r>
  </si>
  <si>
    <t xml:space="preserve">シーズン</t>
  </si>
  <si>
    <t xml:space="preserve">期間の目安</t>
  </si>
  <si>
    <t xml:space="preserve">配分泊数</t>
  </si>
  <si>
    <t xml:space="preserve">稼働率</t>
  </si>
  <si>
    <r>
      <rPr>
        <b val="true"/>
        <sz val="10"/>
        <color rgb="FFFFFFFF"/>
        <rFont val="Noto Sans CJK SC"/>
        <family val="2"/>
      </rPr>
      <t xml:space="preserve">単価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泊</t>
    </r>
  </si>
  <si>
    <t xml:space="preserve">稼働泊数</t>
  </si>
  <si>
    <t xml:space="preserve">売上</t>
  </si>
  <si>
    <t xml:space="preserve">備考</t>
  </si>
  <si>
    <t xml:space="preserve">厳冬期ピーク</t>
  </si>
  <si>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月下旬〜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月（年末年始・スキー）</t>
    </r>
  </si>
  <si>
    <t xml:space="preserve">インバウンド・スキー客。最高単価帯</t>
  </si>
  <si>
    <t xml:space="preserve">冬準ピーク</t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</si>
  <si>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月・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月上旬（スノー残）</t>
    </r>
  </si>
  <si>
    <t xml:space="preserve">スキー継続。年末年始外し</t>
  </si>
  <si>
    <t xml:space="preserve">夏ハイ</t>
  </si>
  <si>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月（盆・</t>
    </r>
    <r>
      <rPr>
        <sz val="10"/>
        <color rgb="FF000000"/>
        <rFont val="Arial"/>
        <family val="0"/>
        <charset val="1"/>
      </rPr>
      <t xml:space="preserve">BBQ</t>
    </r>
    <r>
      <rPr>
        <sz val="10"/>
        <color rgb="FF000000"/>
        <rFont val="Noto Sans CJK SC"/>
        <family val="2"/>
      </rPr>
      <t xml:space="preserve">・ゴルフ）</t>
    </r>
  </si>
  <si>
    <r>
      <rPr>
        <i val="true"/>
        <sz val="9"/>
        <color rgb="FF666666"/>
        <rFont val="Arial"/>
        <family val="0"/>
        <charset val="1"/>
      </rPr>
      <t xml:space="preserve">BBQ</t>
    </r>
    <r>
      <rPr>
        <i val="true"/>
        <sz val="9"/>
        <color rgb="FF666666"/>
        <rFont val="Noto Sans CJK SC"/>
        <family val="2"/>
      </rPr>
      <t xml:space="preserve">・ゴルフ・避暑。グループ需要</t>
    </r>
  </si>
  <si>
    <t xml:space="preserve">春秋ミドル</t>
  </si>
  <si>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月・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月（連休・紅葉）</t>
    </r>
  </si>
  <si>
    <r>
      <rPr>
        <i val="true"/>
        <sz val="9"/>
        <color rgb="FF666666"/>
        <rFont val="Arial"/>
        <family val="0"/>
        <charset val="1"/>
      </rPr>
      <t xml:space="preserve">GW</t>
    </r>
    <r>
      <rPr>
        <i val="true"/>
        <sz val="9"/>
        <color rgb="FF666666"/>
        <rFont val="Noto Sans CJK SC"/>
        <family val="2"/>
      </rPr>
      <t xml:space="preserve">・シルバーウィーク・紅葉ゴルフ</t>
    </r>
  </si>
  <si>
    <t xml:space="preserve">閑散</t>
  </si>
  <si>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月・夏冬端境</t>
    </r>
  </si>
  <si>
    <t xml:space="preserve">端境期。連泊割引で底上げ</t>
  </si>
  <si>
    <r>
      <rPr>
        <b val="true"/>
        <sz val="10"/>
        <rFont val="Noto Sans CJK SC"/>
        <family val="2"/>
      </rPr>
      <t xml:space="preserve">合計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加重平均</t>
    </r>
  </si>
  <si>
    <r>
      <rPr>
        <i val="true"/>
        <sz val="9"/>
        <color rgb="FF666666"/>
        <rFont val="Noto Sans CJK SC"/>
        <family val="2"/>
      </rPr>
      <t xml:space="preserve">配分泊数は上限</t>
    </r>
    <r>
      <rPr>
        <i val="true"/>
        <sz val="9"/>
        <color rgb="FF666666"/>
        <rFont val="Arial"/>
        <family val="0"/>
        <charset val="1"/>
      </rPr>
      <t xml:space="preserve">104</t>
    </r>
    <r>
      <rPr>
        <i val="true"/>
        <sz val="9"/>
        <color rgb="FF666666"/>
        <rFont val="Noto Sans CJK SC"/>
        <family val="2"/>
      </rPr>
      <t xml:space="preserve">泊以内で配分</t>
    </r>
  </si>
  <si>
    <r>
      <rPr>
        <b val="true"/>
        <sz val="10"/>
        <rFont val="Noto Sans CJK SC"/>
        <family val="2"/>
      </rPr>
      <t xml:space="preserve">配分泊数チェック（≤</t>
    </r>
    <r>
      <rPr>
        <b val="true"/>
        <sz val="10"/>
        <rFont val="Arial"/>
        <family val="0"/>
        <charset val="1"/>
      </rPr>
      <t xml:space="preserve">104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</si>
  <si>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加重平均単価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泊</t>
    </r>
  </si>
  <si>
    <t xml:space="preserve">年間収支シミュレーション（標準シナリオ）</t>
  </si>
  <si>
    <r>
      <rPr>
        <i val="true"/>
        <sz val="9"/>
        <color rgb="FF666666"/>
        <rFont val="Noto Sans CJK SC"/>
        <family val="2"/>
      </rPr>
      <t xml:space="preserve">季節別ダイナミックプライシング反映。営業</t>
    </r>
    <r>
      <rPr>
        <i val="true"/>
        <sz val="9"/>
        <color rgb="FF666666"/>
        <rFont val="Arial"/>
        <family val="0"/>
        <charset val="1"/>
      </rPr>
      <t xml:space="preserve">104</t>
    </r>
    <r>
      <rPr>
        <i val="true"/>
        <sz val="9"/>
        <color rgb="FF666666"/>
        <rFont val="Noto Sans CJK SC"/>
        <family val="2"/>
      </rPr>
      <t xml:space="preserve">泊・季節別配分ベース。</t>
    </r>
  </si>
  <si>
    <t xml:space="preserve">【売上】</t>
  </si>
  <si>
    <t xml:space="preserve">宿泊売上（年間）</t>
  </si>
  <si>
    <t xml:space="preserve">季節別シートの合計売上</t>
  </si>
  <si>
    <t xml:space="preserve">稼働泊数（年間）</t>
  </si>
  <si>
    <t xml:space="preserve">実際に泊まる延べ泊数</t>
  </si>
  <si>
    <t xml:space="preserve">【変動費】</t>
  </si>
  <si>
    <t xml:space="preserve">清掃費</t>
  </si>
  <si>
    <r>
      <rPr>
        <i val="true"/>
        <sz val="9"/>
        <color rgb="FF666666"/>
        <rFont val="Noto Sans CJK SC"/>
        <family val="2"/>
      </rPr>
      <t xml:space="preserve">稼働</t>
    </r>
    <r>
      <rPr>
        <i val="true"/>
        <sz val="9"/>
        <color rgb="FF666666"/>
        <rFont val="Arial"/>
        <family val="0"/>
        <charset val="1"/>
      </rPr>
      <t xml:space="preserve">1</t>
    </r>
    <r>
      <rPr>
        <i val="true"/>
        <sz val="9"/>
        <color rgb="FF666666"/>
        <rFont val="Noto Sans CJK SC"/>
        <family val="2"/>
      </rPr>
      <t xml:space="preserve">泊ごと </t>
    </r>
    <r>
      <rPr>
        <i val="true"/>
        <sz val="9"/>
        <color rgb="FF666666"/>
        <rFont val="Arial"/>
        <family val="0"/>
        <charset val="1"/>
      </rPr>
      <t xml:space="preserve">× </t>
    </r>
    <r>
      <rPr>
        <i val="true"/>
        <sz val="9"/>
        <color rgb="FF666666"/>
        <rFont val="Noto Sans CJK SC"/>
        <family val="2"/>
      </rPr>
      <t xml:space="preserve">清掃単価</t>
    </r>
  </si>
  <si>
    <r>
      <rPr>
        <sz val="10"/>
        <color rgb="FF000000"/>
        <rFont val="Arial"/>
        <family val="0"/>
        <charset val="1"/>
      </rPr>
      <t xml:space="preserve">OTA</t>
    </r>
    <r>
      <rPr>
        <sz val="10"/>
        <color rgb="FF000000"/>
        <rFont val="Noto Sans CJK SC"/>
        <family val="2"/>
      </rPr>
      <t xml:space="preserve">手数料</t>
    </r>
  </si>
  <si>
    <r>
      <rPr>
        <i val="true"/>
        <sz val="9"/>
        <color rgb="FF666666"/>
        <rFont val="Noto Sans CJK SC"/>
        <family val="2"/>
      </rPr>
      <t xml:space="preserve">売上 </t>
    </r>
    <r>
      <rPr>
        <i val="true"/>
        <sz val="9"/>
        <color rgb="FF666666"/>
        <rFont val="Arial"/>
        <family val="0"/>
        <charset val="1"/>
      </rPr>
      <t xml:space="preserve">× </t>
    </r>
    <r>
      <rPr>
        <i val="true"/>
        <sz val="9"/>
        <color rgb="FF666666"/>
        <rFont val="Noto Sans CJK SC"/>
        <family val="2"/>
      </rPr>
      <t xml:space="preserve">手数料率</t>
    </r>
  </si>
  <si>
    <t xml:space="preserve">消耗品・アメニティ</t>
  </si>
  <si>
    <r>
      <rPr>
        <i val="true"/>
        <sz val="9"/>
        <color rgb="FF666666"/>
        <rFont val="Noto Sans CJK SC"/>
        <family val="2"/>
      </rPr>
      <t xml:space="preserve">売上 </t>
    </r>
    <r>
      <rPr>
        <i val="true"/>
        <sz val="9"/>
        <color rgb="FF666666"/>
        <rFont val="Arial"/>
        <family val="0"/>
        <charset val="1"/>
      </rPr>
      <t xml:space="preserve">× </t>
    </r>
    <r>
      <rPr>
        <i val="true"/>
        <sz val="9"/>
        <color rgb="FF666666"/>
        <rFont val="Noto Sans CJK SC"/>
        <family val="2"/>
      </rPr>
      <t xml:space="preserve">消耗品率</t>
    </r>
  </si>
  <si>
    <t xml:space="preserve">【固定費】</t>
  </si>
  <si>
    <t xml:space="preserve">ライト委託費（年）</t>
  </si>
  <si>
    <r>
      <rPr>
        <i val="true"/>
        <sz val="9"/>
        <color rgb="FF666666"/>
        <rFont val="Arial"/>
        <family val="0"/>
        <charset val="1"/>
      </rPr>
      <t xml:space="preserve">B</t>
    </r>
    <r>
      <rPr>
        <i val="true"/>
        <sz val="9"/>
        <color rgb="FF666666"/>
        <rFont val="Noto Sans CJK SC"/>
        <family val="2"/>
      </rPr>
      <t xml:space="preserve">スタート：月額固定</t>
    </r>
    <r>
      <rPr>
        <i val="true"/>
        <sz val="9"/>
        <color rgb="FF666666"/>
        <rFont val="Arial"/>
        <family val="0"/>
        <charset val="1"/>
      </rPr>
      <t xml:space="preserve">×12</t>
    </r>
    <r>
      <rPr>
        <i val="true"/>
        <sz val="9"/>
        <color rgb="FF666666"/>
        <rFont val="Noto Sans CJK SC"/>
        <family val="2"/>
      </rPr>
      <t xml:space="preserve">。</t>
    </r>
    <r>
      <rPr>
        <i val="true"/>
        <sz val="9"/>
        <color rgb="FF666666"/>
        <rFont val="Arial"/>
        <family val="0"/>
        <charset val="1"/>
      </rPr>
      <t xml:space="preserve">A</t>
    </r>
    <r>
      <rPr>
        <i val="true"/>
        <sz val="9"/>
        <color rgb="FF666666"/>
        <rFont val="Noto Sans CJK SC"/>
        <family val="2"/>
      </rPr>
      <t xml:space="preserve">登録後は</t>
    </r>
    <r>
      <rPr>
        <i val="true"/>
        <sz val="9"/>
        <color rgb="FF666666"/>
        <rFont val="Arial"/>
        <family val="0"/>
        <charset val="1"/>
      </rPr>
      <t xml:space="preserve">0</t>
    </r>
    <r>
      <rPr>
        <i val="true"/>
        <sz val="9"/>
        <color rgb="FF666666"/>
        <rFont val="Noto Sans CJK SC"/>
        <family val="2"/>
      </rPr>
      <t xml:space="preserve">に</t>
    </r>
  </si>
  <si>
    <t xml:space="preserve">水道光熱費（年）</t>
  </si>
  <si>
    <t xml:space="preserve">冬季サウナ・暖房で増</t>
  </si>
  <si>
    <t xml:space="preserve">【利益】</t>
  </si>
  <si>
    <t xml:space="preserve">営業利益（年）</t>
  </si>
  <si>
    <t xml:space="preserve">売上−変動費−固定費</t>
  </si>
  <si>
    <t xml:space="preserve">営業利益率</t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</si>
  <si>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登録後 営業利益（委託費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</si>
  <si>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t xml:space="preserve">管理業者登録完了後：委託費が消える</t>
  </si>
  <si>
    <r>
      <rPr>
        <i val="true"/>
        <sz val="9"/>
        <color rgb="FF666666"/>
        <rFont val="Noto Sans CJK SC"/>
        <family val="2"/>
      </rPr>
      <t xml:space="preserve">※ 初期投資（消防設備・内装・サウナ整備等）は別途見積り。</t>
    </r>
    <r>
      <rPr>
        <i val="true"/>
        <sz val="9"/>
        <color rgb="FF666666"/>
        <rFont val="Arial"/>
        <family val="0"/>
        <charset val="1"/>
      </rPr>
      <t xml:space="preserve">10</t>
    </r>
    <r>
      <rPr>
        <i val="true"/>
        <sz val="9"/>
        <color rgb="FF666666"/>
        <rFont val="Noto Sans CJK SC"/>
        <family val="2"/>
      </rPr>
      <t xml:space="preserve">ベッド規模は消防法上の設備要求に注意。</t>
    </r>
  </si>
  <si>
    <r>
      <rPr>
        <b val="true"/>
        <sz val="14"/>
        <rFont val="Arial"/>
        <family val="0"/>
        <charset val="1"/>
      </rPr>
      <t xml:space="preserve">3</t>
    </r>
    <r>
      <rPr>
        <b val="true"/>
        <sz val="14"/>
        <rFont val="Noto Sans CJK SC"/>
        <family val="2"/>
      </rPr>
      <t xml:space="preserve">シナリオ比較</t>
    </r>
  </si>
  <si>
    <t xml:space="preserve">季節別配分は標準シートと同一。稼働率と単価感応度を比較。</t>
  </si>
  <si>
    <t xml:space="preserve">指標</t>
  </si>
  <si>
    <t xml:space="preserve">保守</t>
  </si>
  <si>
    <t xml:space="preserve">標準</t>
  </si>
  <si>
    <t xml:space="preserve">強気</t>
  </si>
  <si>
    <t xml:space="preserve">前提</t>
  </si>
  <si>
    <t xml:space="preserve">稼働率係数</t>
  </si>
  <si>
    <r>
      <rPr>
        <i val="true"/>
        <sz val="9"/>
        <color rgb="FF666666"/>
        <rFont val="Noto Sans CJK SC"/>
        <family val="2"/>
      </rPr>
      <t xml:space="preserve">標準</t>
    </r>
    <r>
      <rPr>
        <i val="true"/>
        <sz val="9"/>
        <color rgb="FF666666"/>
        <rFont val="Arial"/>
        <family val="0"/>
        <charset val="1"/>
      </rPr>
      <t xml:space="preserve">=</t>
    </r>
    <r>
      <rPr>
        <i val="true"/>
        <sz val="9"/>
        <color rgb="FF666666"/>
        <rFont val="Noto Sans CJK SC"/>
        <family val="2"/>
      </rPr>
      <t xml:space="preserve">季節別シートの稼働率</t>
    </r>
  </si>
  <si>
    <t xml:space="preserve">単価係数</t>
  </si>
  <si>
    <r>
      <rPr>
        <i val="true"/>
        <sz val="9"/>
        <color rgb="FF666666"/>
        <rFont val="Noto Sans CJK SC"/>
        <family val="2"/>
      </rPr>
      <t xml:space="preserve">標準</t>
    </r>
    <r>
      <rPr>
        <i val="true"/>
        <sz val="9"/>
        <color rgb="FF666666"/>
        <rFont val="Arial"/>
        <family val="0"/>
        <charset val="1"/>
      </rPr>
      <t xml:space="preserve">=</t>
    </r>
    <r>
      <rPr>
        <i val="true"/>
        <sz val="9"/>
        <color rgb="FF666666"/>
        <rFont val="Noto Sans CJK SC"/>
        <family val="2"/>
      </rPr>
      <t xml:space="preserve">季節別シートの単価</t>
    </r>
  </si>
  <si>
    <t xml:space="preserve">年商</t>
  </si>
  <si>
    <t xml:space="preserve">変動費＋固定費</t>
  </si>
  <si>
    <t xml:space="preserve">営業利益</t>
  </si>
  <si>
    <r>
      <rPr>
        <i val="true"/>
        <sz val="9"/>
        <color rgb="FF666666"/>
        <rFont val="Noto Sans CJK SC"/>
        <family val="2"/>
      </rPr>
      <t xml:space="preserve">シャチョー</t>
    </r>
    <r>
      <rPr>
        <i val="true"/>
        <sz val="9"/>
        <color rgb="FF666666"/>
        <rFont val="Arial"/>
        <family val="0"/>
        <charset val="1"/>
      </rPr>
      <t xml:space="preserve">A</t>
    </r>
    <r>
      <rPr>
        <i val="true"/>
        <sz val="9"/>
        <color rgb="FF666666"/>
        <rFont val="Noto Sans CJK SC"/>
        <family val="2"/>
      </rPr>
      <t xml:space="preserve">の基準線：標準＝年商約（</t>
    </r>
    <r>
      <rPr>
        <i val="true"/>
        <sz val="9"/>
        <color rgb="FF666666"/>
        <rFont val="Arial"/>
        <family val="0"/>
        <charset val="1"/>
      </rPr>
      <t xml:space="preserve">B</t>
    </r>
    <r>
      <rPr>
        <i val="true"/>
        <sz val="9"/>
        <color rgb="FF666666"/>
        <rFont val="Noto Sans CJK SC"/>
        <family val="2"/>
      </rPr>
      <t xml:space="preserve">列計算）／投資判断は標準で評価、保守で耐性確認。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</si>
</sst>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\¥#,##0;&quot;(¥&quot;#,##0\);\-"/>
    <numFmt numFmtId="167" formatCode="0.0%"/>
    <numFmt numFmtId="168" formatCode="#,##0.0"/>
    <numFmt numFmtId="169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6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4"/>
      <c r="C5" s="4"/>
      <c r="D5" s="4"/>
    </row>
    <row r="6" customFormat="false" ht="15" hidden="false" customHeight="false" outlineLevel="0" collapsed="false">
      <c r="A6" s="5" t="s">
        <v>4</v>
      </c>
      <c r="B6" s="6" t="n">
        <v>104</v>
      </c>
      <c r="C6" s="5" t="s">
        <v>5</v>
      </c>
      <c r="D6" s="7" t="s">
        <v>6</v>
      </c>
    </row>
    <row r="7" customFormat="false" ht="15" hidden="false" customHeight="false" outlineLevel="0" collapsed="false">
      <c r="A7" s="5" t="s">
        <v>7</v>
      </c>
      <c r="B7" s="6" t="n">
        <v>10</v>
      </c>
      <c r="C7" s="5" t="s">
        <v>8</v>
      </c>
      <c r="D7" s="8" t="s">
        <v>9</v>
      </c>
    </row>
    <row r="8" customFormat="false" ht="15" hidden="false" customHeight="false" outlineLevel="0" collapsed="false">
      <c r="A8" s="5" t="s">
        <v>10</v>
      </c>
      <c r="B8" s="9" t="n">
        <v>18000</v>
      </c>
      <c r="C8" s="5" t="s">
        <v>11</v>
      </c>
      <c r="D8" s="7" t="s">
        <v>12</v>
      </c>
    </row>
    <row r="9" customFormat="false" ht="15" hidden="false" customHeight="false" outlineLevel="0" collapsed="false">
      <c r="A9" s="5" t="s">
        <v>13</v>
      </c>
      <c r="B9" s="9" t="n">
        <v>15000</v>
      </c>
      <c r="C9" s="5" t="s">
        <v>14</v>
      </c>
      <c r="D9" s="8" t="s">
        <v>15</v>
      </c>
    </row>
    <row r="10" customFormat="false" ht="15" hidden="false" customHeight="false" outlineLevel="0" collapsed="false">
      <c r="A10" s="5" t="s">
        <v>16</v>
      </c>
      <c r="B10" s="10" t="n">
        <v>0.05</v>
      </c>
      <c r="C10" s="11" t="s">
        <v>17</v>
      </c>
      <c r="D10" s="7" t="s">
        <v>18</v>
      </c>
    </row>
    <row r="11" customFormat="false" ht="15" hidden="false" customHeight="false" outlineLevel="0" collapsed="false">
      <c r="A11" s="11" t="s">
        <v>19</v>
      </c>
      <c r="B11" s="10" t="n">
        <v>0.15</v>
      </c>
      <c r="C11" s="11" t="s">
        <v>17</v>
      </c>
      <c r="D11" s="8" t="s">
        <v>20</v>
      </c>
    </row>
    <row r="12" customFormat="false" ht="15" hidden="false" customHeight="false" outlineLevel="0" collapsed="false">
      <c r="A12" s="5" t="s">
        <v>21</v>
      </c>
      <c r="B12" s="9" t="n">
        <v>40000</v>
      </c>
      <c r="C12" s="5" t="s">
        <v>14</v>
      </c>
      <c r="D12" s="7" t="s">
        <v>22</v>
      </c>
    </row>
    <row r="13" customFormat="false" ht="15" hidden="false" customHeight="false" outlineLevel="0" collapsed="false">
      <c r="A13" s="11" t="s">
        <v>23</v>
      </c>
      <c r="B13" s="9" t="n">
        <v>0</v>
      </c>
      <c r="C13" s="5" t="s">
        <v>14</v>
      </c>
      <c r="D13" s="7" t="s">
        <v>24</v>
      </c>
    </row>
    <row r="15" customFormat="false" ht="15" hidden="false" customHeight="false" outlineLevel="0" collapsed="false">
      <c r="A15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15" hidden="false" customHeight="false" outlineLevel="0" collapsed="false">
      <c r="A4" s="12" t="s">
        <v>28</v>
      </c>
      <c r="B4" s="12" t="s">
        <v>29</v>
      </c>
      <c r="C4" s="12" t="s">
        <v>30</v>
      </c>
      <c r="D4" s="12" t="s">
        <v>31</v>
      </c>
      <c r="E4" s="12" t="s">
        <v>32</v>
      </c>
      <c r="F4" s="12" t="s">
        <v>33</v>
      </c>
      <c r="G4" s="12" t="s">
        <v>34</v>
      </c>
      <c r="H4" s="12" t="s">
        <v>35</v>
      </c>
    </row>
    <row r="5" customFormat="false" ht="15" hidden="false" customHeight="false" outlineLevel="0" collapsed="false">
      <c r="A5" s="5" t="s">
        <v>36</v>
      </c>
      <c r="B5" s="11" t="s">
        <v>37</v>
      </c>
      <c r="C5" s="13" t="n">
        <v>28</v>
      </c>
      <c r="D5" s="14" t="n">
        <v>0.85</v>
      </c>
      <c r="E5" s="9" t="n">
        <v>150000</v>
      </c>
      <c r="F5" s="15" t="n">
        <f aca="false">C5*D5</f>
        <v>23.8</v>
      </c>
      <c r="G5" s="16" t="n">
        <f aca="false">F5*E5</f>
        <v>3570000</v>
      </c>
      <c r="H5" s="2" t="s">
        <v>38</v>
      </c>
    </row>
    <row r="6" customFormat="false" ht="15" hidden="false" customHeight="false" outlineLevel="0" collapsed="false">
      <c r="A6" s="5" t="s">
        <v>39</v>
      </c>
      <c r="B6" s="11" t="s">
        <v>40</v>
      </c>
      <c r="C6" s="13" t="n">
        <v>16</v>
      </c>
      <c r="D6" s="14" t="n">
        <v>0.75</v>
      </c>
      <c r="E6" s="9" t="n">
        <v>110000</v>
      </c>
      <c r="F6" s="15" t="n">
        <f aca="false">C6*D6</f>
        <v>12</v>
      </c>
      <c r="G6" s="16" t="n">
        <f aca="false">F6*E6</f>
        <v>1320000</v>
      </c>
      <c r="H6" s="2" t="s">
        <v>41</v>
      </c>
    </row>
    <row r="7" customFormat="false" ht="15" hidden="false" customHeight="false" outlineLevel="0" collapsed="false">
      <c r="A7" s="5" t="s">
        <v>42</v>
      </c>
      <c r="B7" s="11" t="s">
        <v>43</v>
      </c>
      <c r="C7" s="13" t="n">
        <v>24</v>
      </c>
      <c r="D7" s="14" t="n">
        <v>0.75</v>
      </c>
      <c r="E7" s="9" t="n">
        <v>95000</v>
      </c>
      <c r="F7" s="15" t="n">
        <f aca="false">C7*D7</f>
        <v>18</v>
      </c>
      <c r="G7" s="16" t="n">
        <f aca="false">F7*E7</f>
        <v>1710000</v>
      </c>
      <c r="H7" s="17" t="s">
        <v>44</v>
      </c>
    </row>
    <row r="8" customFormat="false" ht="15" hidden="false" customHeight="false" outlineLevel="0" collapsed="false">
      <c r="A8" s="5" t="s">
        <v>45</v>
      </c>
      <c r="B8" s="11" t="s">
        <v>46</v>
      </c>
      <c r="C8" s="13" t="n">
        <v>24</v>
      </c>
      <c r="D8" s="14" t="n">
        <v>0.65</v>
      </c>
      <c r="E8" s="9" t="n">
        <v>75000</v>
      </c>
      <c r="F8" s="15" t="n">
        <f aca="false">C8*D8</f>
        <v>15.6</v>
      </c>
      <c r="G8" s="16" t="n">
        <f aca="false">F8*E8</f>
        <v>1170000</v>
      </c>
      <c r="H8" s="17" t="s">
        <v>47</v>
      </c>
    </row>
    <row r="9" customFormat="false" ht="15" hidden="false" customHeight="false" outlineLevel="0" collapsed="false">
      <c r="A9" s="5" t="s">
        <v>48</v>
      </c>
      <c r="B9" s="11" t="s">
        <v>49</v>
      </c>
      <c r="C9" s="13" t="n">
        <v>12</v>
      </c>
      <c r="D9" s="14" t="n">
        <v>0.55</v>
      </c>
      <c r="E9" s="9" t="n">
        <v>60000</v>
      </c>
      <c r="F9" s="15" t="n">
        <f aca="false">C9*D9</f>
        <v>6.6</v>
      </c>
      <c r="G9" s="16" t="n">
        <f aca="false">F9*E9</f>
        <v>396000</v>
      </c>
      <c r="H9" s="2" t="s">
        <v>50</v>
      </c>
    </row>
    <row r="10" customFormat="false" ht="15" hidden="false" customHeight="false" outlineLevel="0" collapsed="false">
      <c r="A10" s="18" t="s">
        <v>51</v>
      </c>
      <c r="B10" s="19"/>
      <c r="C10" s="20" t="n">
        <f aca="false">SUM(C5:C9)</f>
        <v>104</v>
      </c>
      <c r="D10" s="19"/>
      <c r="E10" s="19"/>
      <c r="F10" s="21" t="n">
        <f aca="false">SUM(F5:F9)</f>
        <v>76</v>
      </c>
      <c r="G10" s="22" t="n">
        <f aca="false">SUM(G5:G9)</f>
        <v>8166000</v>
      </c>
      <c r="H10" s="2" t="s">
        <v>52</v>
      </c>
    </row>
    <row r="12" customFormat="false" ht="15" hidden="false" customHeight="false" outlineLevel="0" collapsed="false">
      <c r="A12" s="23" t="s">
        <v>53</v>
      </c>
      <c r="C12" s="24" t="str">
        <f aca="false">IF(C10&lt;=前提!B6,"OK ✓","超過！")</f>
        <v>OK ✓</v>
      </c>
    </row>
    <row r="13" customFormat="false" ht="15" hidden="false" customHeight="false" outlineLevel="0" collapsed="false">
      <c r="A13" s="5" t="s">
        <v>54</v>
      </c>
      <c r="C13" s="25" t="n">
        <f aca="false">G10/F10</f>
        <v>107447.368421053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4" customFormat="false" ht="15" hidden="false" customHeight="false" outlineLevel="0" collapsed="false">
      <c r="A4" s="3" t="s">
        <v>57</v>
      </c>
      <c r="B4" s="4"/>
      <c r="C4" s="4"/>
      <c r="D4" s="4"/>
    </row>
    <row r="5" customFormat="false" ht="15" hidden="false" customHeight="false" outlineLevel="0" collapsed="false">
      <c r="A5" s="5" t="s">
        <v>58</v>
      </c>
      <c r="B5" s="16" t="n">
        <f aca="false">季節別単価!G10</f>
        <v>8166000</v>
      </c>
      <c r="D5" s="7" t="s">
        <v>59</v>
      </c>
    </row>
    <row r="6" customFormat="false" ht="15" hidden="false" customHeight="false" outlineLevel="0" collapsed="false">
      <c r="A6" s="5" t="s">
        <v>60</v>
      </c>
      <c r="B6" s="15" t="n">
        <f aca="false">季節別単価!F10</f>
        <v>76</v>
      </c>
      <c r="D6" s="7" t="s">
        <v>61</v>
      </c>
    </row>
    <row r="7" customFormat="false" ht="15" hidden="false" customHeight="false" outlineLevel="0" collapsed="false">
      <c r="A7" s="3" t="s">
        <v>62</v>
      </c>
      <c r="B7" s="4"/>
      <c r="C7" s="4"/>
      <c r="D7" s="4"/>
    </row>
    <row r="8" customFormat="false" ht="15" hidden="false" customHeight="false" outlineLevel="0" collapsed="false">
      <c r="A8" s="5" t="s">
        <v>63</v>
      </c>
      <c r="B8" s="16" t="n">
        <f aca="false">B6*前提!B8</f>
        <v>1368000</v>
      </c>
      <c r="D8" s="7" t="s">
        <v>64</v>
      </c>
    </row>
    <row r="9" customFormat="false" ht="15" hidden="false" customHeight="false" outlineLevel="0" collapsed="false">
      <c r="A9" s="11" t="s">
        <v>65</v>
      </c>
      <c r="B9" s="16" t="n">
        <f aca="false">B5*前提!B11</f>
        <v>1224900</v>
      </c>
      <c r="D9" s="7" t="s">
        <v>66</v>
      </c>
    </row>
    <row r="10" customFormat="false" ht="15" hidden="false" customHeight="false" outlineLevel="0" collapsed="false">
      <c r="A10" s="5" t="s">
        <v>67</v>
      </c>
      <c r="B10" s="16" t="n">
        <f aca="false">B5*前提!B10</f>
        <v>408300</v>
      </c>
      <c r="D10" s="7" t="s">
        <v>68</v>
      </c>
    </row>
    <row r="11" customFormat="false" ht="15" hidden="false" customHeight="false" outlineLevel="0" collapsed="false">
      <c r="A11" s="3" t="s">
        <v>69</v>
      </c>
      <c r="B11" s="4"/>
      <c r="C11" s="4"/>
      <c r="D11" s="4"/>
    </row>
    <row r="12" customFormat="false" ht="15" hidden="false" customHeight="false" outlineLevel="0" collapsed="false">
      <c r="A12" s="5" t="s">
        <v>70</v>
      </c>
      <c r="B12" s="16" t="n">
        <f aca="false">前提!B9*12</f>
        <v>180000</v>
      </c>
      <c r="D12" s="8" t="s">
        <v>71</v>
      </c>
    </row>
    <row r="13" customFormat="false" ht="15" hidden="false" customHeight="false" outlineLevel="0" collapsed="false">
      <c r="A13" s="5" t="s">
        <v>72</v>
      </c>
      <c r="B13" s="16" t="n">
        <f aca="false">前提!B12*12</f>
        <v>480000</v>
      </c>
      <c r="D13" s="7" t="s">
        <v>73</v>
      </c>
    </row>
    <row r="14" customFormat="false" ht="15" hidden="false" customHeight="false" outlineLevel="0" collapsed="false">
      <c r="A14" s="18" t="s">
        <v>74</v>
      </c>
      <c r="B14" s="19"/>
      <c r="C14" s="19"/>
      <c r="D14" s="19"/>
    </row>
    <row r="15" customFormat="false" ht="15" hidden="false" customHeight="false" outlineLevel="0" collapsed="false">
      <c r="A15" s="18" t="s">
        <v>75</v>
      </c>
      <c r="B15" s="22" t="n">
        <f aca="false">B5-B8-B9-B10-B12-B13</f>
        <v>4504800</v>
      </c>
      <c r="C15" s="19"/>
      <c r="D15" s="7" t="s">
        <v>76</v>
      </c>
    </row>
    <row r="16" customFormat="false" ht="15" hidden="false" customHeight="false" outlineLevel="0" collapsed="false">
      <c r="A16" s="18" t="s">
        <v>77</v>
      </c>
      <c r="B16" s="26" t="n">
        <f aca="false">B15/B5</f>
        <v>0.55165319617928</v>
      </c>
      <c r="C16" s="19"/>
    </row>
    <row r="17" customFormat="false" ht="15" hidden="false" customHeight="false" outlineLevel="0" collapsed="false">
      <c r="A17" s="27" t="s">
        <v>78</v>
      </c>
      <c r="B17" s="28" t="n">
        <f aca="false">B15+B12</f>
        <v>4684800</v>
      </c>
      <c r="D17" s="7" t="s">
        <v>79</v>
      </c>
    </row>
    <row r="19" customFormat="false" ht="39.55" hidden="false" customHeight="false" outlineLevel="0" collapsed="false">
      <c r="A19" s="7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6"/>
    <col collapsed="false" customWidth="true" hidden="false" outlineLevel="0" max="5" min="5" style="0" width="30"/>
  </cols>
  <sheetData>
    <row r="1" customFormat="false" ht="21.6" hidden="false" customHeight="false" outlineLevel="0" collapsed="false">
      <c r="A1" s="29" t="s">
        <v>81</v>
      </c>
    </row>
    <row r="2" customFormat="false" ht="15" hidden="false" customHeight="false" outlineLevel="0" collapsed="false">
      <c r="A2" s="2" t="s">
        <v>82</v>
      </c>
    </row>
    <row r="4" customFormat="false" ht="15" hidden="false" customHeight="false" outlineLevel="0" collapsed="false">
      <c r="A4" s="12" t="s">
        <v>83</v>
      </c>
      <c r="B4" s="12" t="s">
        <v>84</v>
      </c>
      <c r="C4" s="12" t="s">
        <v>85</v>
      </c>
      <c r="D4" s="12" t="s">
        <v>86</v>
      </c>
      <c r="E4" s="12" t="s">
        <v>87</v>
      </c>
    </row>
    <row r="5" customFormat="false" ht="15" hidden="false" customHeight="false" outlineLevel="0" collapsed="false">
      <c r="A5" s="5" t="s">
        <v>88</v>
      </c>
      <c r="B5" s="30" t="n">
        <v>0.85</v>
      </c>
      <c r="C5" s="30" t="n">
        <v>1</v>
      </c>
      <c r="D5" s="30" t="n">
        <v>1.15</v>
      </c>
      <c r="E5" s="2" t="s">
        <v>89</v>
      </c>
    </row>
    <row r="6" customFormat="false" ht="15" hidden="false" customHeight="false" outlineLevel="0" collapsed="false">
      <c r="A6" s="5" t="s">
        <v>90</v>
      </c>
      <c r="B6" s="30" t="n">
        <v>0.85</v>
      </c>
      <c r="C6" s="30" t="n">
        <v>1</v>
      </c>
      <c r="D6" s="30" t="n">
        <v>1.15</v>
      </c>
      <c r="E6" s="2" t="s">
        <v>91</v>
      </c>
    </row>
    <row r="8" customFormat="false" ht="15" hidden="false" customHeight="false" outlineLevel="0" collapsed="false">
      <c r="A8" s="23" t="s">
        <v>92</v>
      </c>
      <c r="B8" s="16" t="n">
        <f aca="false">季節別単価!G10*B5*B6</f>
        <v>5899935</v>
      </c>
      <c r="C8" s="16" t="n">
        <f aca="false">季節別単価!G10*C5*C6</f>
        <v>8166000</v>
      </c>
      <c r="D8" s="16" t="n">
        <f aca="false">季節別単価!G10*D5*D6</f>
        <v>10799535</v>
      </c>
    </row>
    <row r="9" customFormat="false" ht="15" hidden="false" customHeight="false" outlineLevel="0" collapsed="false">
      <c r="A9" s="23" t="s">
        <v>93</v>
      </c>
      <c r="B9" s="16" t="n">
        <f aca="false">(季節別単価!F10*B5)*前提!B8+B8*(前提!B11+前提!B10)+前提!B9*12+前提!B12*12</f>
        <v>3002787</v>
      </c>
      <c r="C9" s="16" t="n">
        <f aca="false">(季節別単価!F10*C5)*前提!B8+C8*(前提!B11+前提!B10)+前提!B9*12+前提!B12*12</f>
        <v>3661200</v>
      </c>
      <c r="D9" s="16" t="n">
        <f aca="false">(季節別単価!F10*D5)*前提!B8+D8*(前提!B11+前提!B10)+前提!B9*12+前提!B12*12</f>
        <v>4393107</v>
      </c>
    </row>
    <row r="10" customFormat="false" ht="15" hidden="false" customHeight="false" outlineLevel="0" collapsed="false">
      <c r="A10" s="18" t="s">
        <v>94</v>
      </c>
      <c r="B10" s="22" t="n">
        <f aca="false">B8-B9</f>
        <v>2897148</v>
      </c>
      <c r="C10" s="22" t="n">
        <f aca="false">C8-C9</f>
        <v>4504800</v>
      </c>
      <c r="D10" s="22" t="n">
        <f aca="false">D8-D9</f>
        <v>6406428</v>
      </c>
    </row>
    <row r="11" customFormat="false" ht="15" hidden="false" customHeight="false" outlineLevel="0" collapsed="false">
      <c r="A11" s="18" t="s">
        <v>77</v>
      </c>
      <c r="B11" s="26" t="n">
        <f aca="false">B10/B8</f>
        <v>0.491047443743024</v>
      </c>
      <c r="C11" s="26" t="n">
        <f aca="false">C10/C8</f>
        <v>0.55165319617928</v>
      </c>
      <c r="D11" s="26" t="n">
        <f aca="false">D10/D8</f>
        <v>0.593213318906786</v>
      </c>
    </row>
    <row r="13" customFormat="false" ht="52.2" hidden="false" customHeight="false" outlineLevel="0" collapsed="false">
      <c r="A13" s="7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2026-06-11T10:03:30Z</dcterms:created>
  <dc:creator>openpyxl</dc:creator>
  <dc:description/>
  <dc:language>en-US</dc:language>
  <cp:lastModifiedBy/>
  <dcterms:modified xsi:type="dcterms:W3CDTF">2026-06-11T10:03:30Z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