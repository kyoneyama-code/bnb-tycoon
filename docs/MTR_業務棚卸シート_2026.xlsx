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TR業務棚卸シート" sheetId="1" state="visible" r:id="rId1"/>
    <sheet name="案件帳票" sheetId="2" state="visible" r:id="rId2"/>
    <sheet name="特命プロジェクト候補リスト" sheetId="3" state="visible" r:id="rId3"/>
    <sheet name="社長に聞くこと・決めてもらうこと（パーキングロット）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メイリオ"/>
      <b val="1"/>
      <color rgb="00FFFFFF"/>
      <sz val="14"/>
    </font>
    <font>
      <name val="メイリオ"/>
      <color rgb="004B5563"/>
      <sz val="9"/>
    </font>
    <font>
      <name val="メイリオ"/>
      <color rgb="0092400E"/>
      <sz val="8.5"/>
    </font>
    <font>
      <name val="メイリオ"/>
      <b val="1"/>
      <color rgb="00FFFFFF"/>
      <sz val="10"/>
    </font>
    <font>
      <name val="メイリオ"/>
      <color rgb="001C2622"/>
      <sz val="9.5"/>
    </font>
    <font>
      <name val="メイリオ"/>
      <b val="1"/>
      <color rgb="00991B1B"/>
      <sz val="9.5"/>
    </font>
    <font>
      <name val="メイリオ"/>
      <b val="1"/>
      <color rgb="0092400E"/>
      <sz val="9.5"/>
    </font>
    <font>
      <name val="メイリオ"/>
      <b val="1"/>
      <color rgb="00065F46"/>
      <sz val="9.5"/>
    </font>
    <font>
      <name val="メイリオ"/>
      <color rgb="00991B1B"/>
      <sz val="9.5"/>
    </font>
    <font>
      <name val="メイリオ"/>
      <color rgb="0092400E"/>
      <sz val="9.5"/>
    </font>
    <font>
      <name val="メイリオ"/>
      <color rgb="00065F46"/>
      <sz val="9.5"/>
    </font>
    <font>
      <name val="メイリオ"/>
      <color rgb="001E40AF"/>
      <sz val="9.5"/>
    </font>
    <font>
      <name val="メイリオ"/>
      <b val="1"/>
      <color rgb="00FFFFFF"/>
      <sz val="13"/>
    </font>
  </fonts>
  <fills count="12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E7EFE9"/>
      </patternFill>
    </fill>
    <fill>
      <patternFill patternType="solid">
        <fgColor rgb="00FFF7ED"/>
      </patternFill>
    </fill>
    <fill>
      <patternFill patternType="solid">
        <fgColor rgb="00374151"/>
      </patternFill>
    </fill>
    <fill>
      <patternFill patternType="solid">
        <fgColor rgb="00F9FAFB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1FAE5"/>
      </patternFill>
    </fill>
    <fill>
      <patternFill patternType="solid">
        <fgColor rgb="00FFFFFF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 wrapText="1"/>
    </xf>
    <xf numFmtId="0" fontId="13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2" customWidth="1" min="3" max="3"/>
    <col width="10" customWidth="1" min="4" max="4"/>
    <col width="10" customWidth="1" min="5" max="5"/>
    <col width="14" customWidth="1" min="6" max="6"/>
    <col width="48" customWidth="1" min="7" max="7"/>
    <col width="32" customWidth="1" min="8" max="8"/>
  </cols>
  <sheetData>
    <row r="1" ht="32" customHeight="1">
      <c r="A1" s="1" t="inlineStr">
        <is>
          <t>MTR業務棚卸シート</t>
        </is>
      </c>
    </row>
    <row r="2">
      <c r="A2" s="2" t="inlineStr">
        <is>
          <t>記入者：忠・京介｜会議2日前までに各自記入。</t>
        </is>
      </c>
    </row>
    <row r="3">
      <c r="A3" s="3" t="inlineStr">
        <is>
          <t>C: Cold(進捗率30%) / W: Warm(進捗率60%) / H: Hot(進捗率80%) / 確定: 完遂</t>
        </is>
      </c>
    </row>
    <row r="4" ht="22" customHeight="1">
      <c r="A4" s="4" t="inlineStr">
        <is>
          <t>記入者</t>
        </is>
      </c>
      <c r="B4" s="4" t="inlineStr">
        <is>
          <t>業務カテゴリー</t>
        </is>
      </c>
      <c r="C4" s="4" t="inlineStr">
        <is>
          <t>業務名</t>
        </is>
      </c>
      <c r="D4" s="4" t="inlineStr">
        <is>
          <t>区分</t>
        </is>
      </c>
      <c r="E4" s="4" t="inlineStr">
        <is>
          <t>頻度</t>
        </is>
      </c>
      <c r="F4" s="4" t="inlineStr">
        <is>
          <t>想定工数(h/月)</t>
        </is>
      </c>
      <c r="G4" s="4" t="inlineStr">
        <is>
          <t>具体的な中身・背景</t>
        </is>
      </c>
      <c r="H4" s="4" t="inlineStr">
        <is>
          <t>備考・次のアクション</t>
        </is>
      </c>
      <c r="J4" s="5" t="inlineStr">
        <is>
          <t>区分別件数</t>
        </is>
      </c>
      <c r="K4" s="6" t="n"/>
    </row>
    <row r="5" ht="40" customHeight="1">
      <c r="A5" s="7" t="inlineStr">
        <is>
          <t>忠</t>
        </is>
      </c>
      <c r="B5" s="7" t="inlineStr">
        <is>
          <t>物件取得</t>
        </is>
      </c>
      <c r="C5" s="7" t="inlineStr">
        <is>
          <t>ニセコ曽我806-13 投資最終意思決定</t>
        </is>
      </c>
      <c r="D5" s="8" t="inlineStr">
        <is>
          <t>C</t>
        </is>
      </c>
      <c r="E5" s="7" t="inlineStr">
        <is>
          <t>随時</t>
        </is>
      </c>
      <c r="F5" s="7" t="inlineStr">
        <is>
          <t>10.0</t>
        </is>
      </c>
      <c r="G5" s="9" t="inlineStr">
        <is>
          <t>総投資3.17億・回収5.7年。MTR保有＋AP飲食運営スキーム。浄化槽・旅館業許可がボトルネック。</t>
        </is>
      </c>
      <c r="H5" s="9" t="inlineStr">
        <is>
          <t>社長決裁待ち。財務DD追加後に判断</t>
        </is>
      </c>
      <c r="J5" s="10" t="inlineStr">
        <is>
          <t>C（Cold）</t>
        </is>
      </c>
      <c r="K5" s="11">
        <f>COUNTIF($D$5:$D$200,"C")</f>
        <v/>
      </c>
    </row>
    <row r="6" ht="40" customHeight="1">
      <c r="A6" s="7" t="inlineStr">
        <is>
          <t>忠</t>
        </is>
      </c>
      <c r="B6" s="7" t="inlineStr">
        <is>
          <t>許認可</t>
        </is>
      </c>
      <c r="C6" s="7" t="inlineStr">
        <is>
          <t>ニセコ 浄化槽容量調査・増設見積もり</t>
        </is>
      </c>
      <c r="D6" s="8" t="inlineStr">
        <is>
          <t>C</t>
        </is>
      </c>
      <c r="E6" s="7" t="inlineStr">
        <is>
          <t>随時</t>
        </is>
      </c>
      <c r="F6" s="7" t="inlineStr">
        <is>
          <t>8.0</t>
        </is>
      </c>
      <c r="G6" s="9" t="inlineStr">
        <is>
          <t>住宅10人槽→飲食+民泊で100〜140人規模必要。増設コスト1,000万超の可能性あり。</t>
        </is>
      </c>
      <c r="H6" s="9" t="inlineStr">
        <is>
          <t>地元業者3社に相見積もり依頼</t>
        </is>
      </c>
      <c r="J6" s="12" t="inlineStr">
        <is>
          <t>W（Warm）</t>
        </is>
      </c>
      <c r="K6" s="11">
        <f>COUNTIF($D$5:$D$200,"W")</f>
        <v/>
      </c>
    </row>
    <row r="7" ht="40" customHeight="1">
      <c r="A7" s="7" t="inlineStr">
        <is>
          <t>京介</t>
        </is>
      </c>
      <c r="B7" s="7" t="inlineStr">
        <is>
          <t>許認可</t>
        </is>
      </c>
      <c r="C7" s="7" t="inlineStr">
        <is>
          <t>ニセコ 旅館業（簡易宿所）許可申請準備</t>
        </is>
      </c>
      <c r="D7" s="13" t="inlineStr">
        <is>
          <t>W</t>
        </is>
      </c>
      <c r="E7" s="7" t="inlineStr">
        <is>
          <t>随時</t>
        </is>
      </c>
      <c r="F7" s="7" t="inlineStr">
        <is>
          <t>15.0</t>
        </is>
      </c>
      <c r="G7" s="9" t="inlineStr">
        <is>
          <t>用途変更＋防火避難対応が許可の前提条件。建築士と協議中。</t>
        </is>
      </c>
      <c r="H7" s="9" t="inlineStr">
        <is>
          <t>北海道保健所に事前相談済み。申請書類作成中</t>
        </is>
      </c>
      <c r="J7" s="14" t="inlineStr">
        <is>
          <t>H（Hot）</t>
        </is>
      </c>
      <c r="K7" s="11">
        <f>COUNTIF($D$5:$D$200,"H")</f>
        <v/>
      </c>
    </row>
    <row r="8" ht="40" customHeight="1">
      <c r="A8" s="7" t="inlineStr">
        <is>
          <t>京介</t>
        </is>
      </c>
      <c r="B8" s="7" t="inlineStr">
        <is>
          <t>物件取得</t>
        </is>
      </c>
      <c r="C8" s="7" t="inlineStr">
        <is>
          <t>ニセコ 用途変更・防火避難設計</t>
        </is>
      </c>
      <c r="D8" s="8" t="inlineStr">
        <is>
          <t>C</t>
        </is>
      </c>
      <c r="E8" s="7" t="inlineStr">
        <is>
          <t>随時</t>
        </is>
      </c>
      <c r="F8" s="7" t="inlineStr">
        <is>
          <t>6.0</t>
        </is>
      </c>
      <c r="G8" s="9" t="inlineStr">
        <is>
          <t>木造一部RC3階建・延床391.52㎡。用途変更に伴い消防設備追加が必要。</t>
        </is>
      </c>
      <c r="H8" s="9" t="inlineStr">
        <is>
          <t>地元建築士に依頼済み。見積もり待ち</t>
        </is>
      </c>
      <c r="J8" s="15" t="inlineStr">
        <is>
          <t>確定</t>
        </is>
      </c>
      <c r="K8" s="11">
        <f>COUNTIF($D$5:$D$200,"確定")</f>
        <v/>
      </c>
    </row>
    <row r="9" ht="40" customHeight="1">
      <c r="A9" s="7" t="inlineStr">
        <is>
          <t>忠</t>
        </is>
      </c>
      <c r="B9" s="7" t="inlineStr">
        <is>
          <t>地方創生</t>
        </is>
      </c>
      <c r="C9" s="7" t="inlineStr">
        <is>
          <t>忍野村 体験ビレッジ 農地転用許可確認</t>
        </is>
      </c>
      <c r="D9" s="8" t="inlineStr">
        <is>
          <t>C</t>
        </is>
      </c>
      <c r="E9" s="7" t="inlineStr">
        <is>
          <t>随時</t>
        </is>
      </c>
      <c r="F9" s="7" t="inlineStr">
        <is>
          <t>12.0</t>
        </is>
      </c>
      <c r="G9" s="9" t="inlineStr">
        <is>
          <t>B棟10,000坪が農地の可能性。契約前に農業委員会確認が必須。転用不許可の場合は事業成立しない。</t>
        </is>
      </c>
      <c r="H9" s="9" t="inlineStr">
        <is>
          <t>忍野村農業委員会にアポ取り。7月中に確認完了目標</t>
        </is>
      </c>
    </row>
    <row r="10" ht="40" customHeight="1">
      <c r="A10" s="7" t="inlineStr">
        <is>
          <t>忠</t>
        </is>
      </c>
      <c r="B10" s="7" t="inlineStr">
        <is>
          <t>地方創生</t>
        </is>
      </c>
      <c r="C10" s="7" t="inlineStr">
        <is>
          <t>忍野村 補助金申請（目標4.55億）</t>
        </is>
      </c>
      <c r="D10" s="13" t="inlineStr">
        <is>
          <t>W</t>
        </is>
      </c>
      <c r="E10" s="7" t="inlineStr">
        <is>
          <t>随時</t>
        </is>
      </c>
      <c r="F10" s="7" t="inlineStr">
        <is>
          <t>20.0</t>
        </is>
      </c>
      <c r="G10" s="9" t="inlineStr">
        <is>
          <t>農山漁村振興交付金・観光庁グリーンツーリズム等複数を並行申請予定。コンサル起用を検討。</t>
        </is>
      </c>
      <c r="H10" s="9" t="inlineStr">
        <is>
          <t>補助金コンサル2社と面談調整中</t>
        </is>
      </c>
    </row>
    <row r="11" ht="40" customHeight="1">
      <c r="A11" s="7" t="inlineStr">
        <is>
          <t>京介</t>
        </is>
      </c>
      <c r="B11" s="7" t="inlineStr">
        <is>
          <t>地方創生</t>
        </is>
      </c>
      <c r="C11" s="7" t="inlineStr">
        <is>
          <t>忍野村 サントリー協業交渉</t>
        </is>
      </c>
      <c r="D11" s="8" t="inlineStr">
        <is>
          <t>C</t>
        </is>
      </c>
      <c r="E11" s="7" t="inlineStr">
        <is>
          <t>随時</t>
        </is>
      </c>
      <c r="F11" s="7" t="inlineStr">
        <is>
          <t>8.0</t>
        </is>
      </c>
      <c r="G11" s="9" t="inlineStr">
        <is>
          <t>プレモルBBQ＋白州ラウンジ＋水育×食育CSRの3パターン。最大7,000万/年のインパクト。2026年5月提案済み。</t>
        </is>
      </c>
      <c r="H11" s="9" t="inlineStr">
        <is>
          <t>サントリー側の回答待ち（6月末目標）</t>
        </is>
      </c>
    </row>
    <row r="12" ht="40" customHeight="1">
      <c r="A12" s="7" t="inlineStr">
        <is>
          <t>京介</t>
        </is>
      </c>
      <c r="B12" s="7" t="inlineStr">
        <is>
          <t>地方創生</t>
        </is>
      </c>
      <c r="C12" s="7" t="inlineStr">
        <is>
          <t>忍野村 自然公園法エリア確認</t>
        </is>
      </c>
      <c r="D12" s="8" t="inlineStr">
        <is>
          <t>C</t>
        </is>
      </c>
      <c r="E12" s="7" t="inlineStr">
        <is>
          <t>随時</t>
        </is>
      </c>
      <c r="F12" s="7" t="inlineStr">
        <is>
          <t>4.0</t>
        </is>
      </c>
      <c r="G12" s="9" t="inlineStr">
        <is>
          <t>国立公園区域外であることの確認が必要。対象になると建築規制が大幅強化。</t>
        </is>
      </c>
      <c r="H12" s="9" t="inlineStr">
        <is>
          <t>山梨県環境局に確認中</t>
        </is>
      </c>
    </row>
    <row r="13" ht="40" customHeight="1">
      <c r="A13" s="7" t="inlineStr">
        <is>
          <t>忠</t>
        </is>
      </c>
      <c r="B13" s="7" t="inlineStr">
        <is>
          <t>地方創生</t>
        </is>
      </c>
      <c r="C13" s="7" t="inlineStr">
        <is>
          <t>忍野村 オーナー投資スキーム設計</t>
        </is>
      </c>
      <c r="D13" s="8" t="inlineStr">
        <is>
          <t>C</t>
        </is>
      </c>
      <c r="E13" s="7" t="inlineStr">
        <is>
          <t>随時</t>
        </is>
      </c>
      <c r="F13" s="7" t="inlineStr">
        <is>
          <t>10.0</t>
        </is>
      </c>
      <c r="G13" s="9" t="inlineStr">
        <is>
          <t>オーナー出資2億を集める金商法対応スキームの設計。専門家（弁護士＋公認会計士）確認必須。</t>
        </is>
      </c>
      <c r="H13" s="9" t="inlineStr">
        <is>
          <t>顧問弁護士に依頼済み</t>
        </is>
      </c>
    </row>
    <row r="14" ht="40" customHeight="1">
      <c r="A14" s="7" t="inlineStr">
        <is>
          <t>京介</t>
        </is>
      </c>
      <c r="B14" s="7" t="inlineStr">
        <is>
          <t>民泊運営</t>
        </is>
      </c>
      <c r="C14" s="7" t="inlineStr">
        <is>
          <t>南千歳ヴィラ 旅館業許可申請</t>
        </is>
      </c>
      <c r="D14" s="13" t="inlineStr">
        <is>
          <t>W</t>
        </is>
      </c>
      <c r="E14" s="7" t="inlineStr">
        <is>
          <t>随時</t>
        </is>
      </c>
      <c r="F14" s="7" t="inlineStr">
        <is>
          <t>20.0</t>
        </is>
      </c>
      <c r="G14" s="9" t="inlineStr">
        <is>
          <t>10ベッド一棟貸し・住居専用地域のため週末営業（金〜日）。消防設備（10ベッド対応）の工事が必要。</t>
        </is>
      </c>
      <c r="H14" s="9" t="inlineStr">
        <is>
          <t>千歳市保健所に事前相談済み。消防業者手配中</t>
        </is>
      </c>
    </row>
    <row r="15" ht="40" customHeight="1">
      <c r="A15" s="7" t="inlineStr">
        <is>
          <t>忠</t>
        </is>
      </c>
      <c r="B15" s="7" t="inlineStr">
        <is>
          <t>民泊運営</t>
        </is>
      </c>
      <c r="C15" s="7" t="inlineStr">
        <is>
          <t>南千歳ヴィラ Airbnb/OTA掲載・収益最大化</t>
        </is>
      </c>
      <c r="D15" s="16" t="inlineStr">
        <is>
          <t>H</t>
        </is>
      </c>
      <c r="E15" s="7" t="inlineStr">
        <is>
          <t>月次</t>
        </is>
      </c>
      <c r="F15" s="7" t="inlineStr">
        <is>
          <t>10.0</t>
        </is>
      </c>
      <c r="G15" s="9" t="inlineStr">
        <is>
          <t>年商817万・営業利益450万（標準シナリオ）。稼働率73%目標。写真撮影・掲載文作成が優先。</t>
        </is>
      </c>
      <c r="H15" s="9" t="inlineStr">
        <is>
          <t>カメラマン手配→7月初旬撮影予定</t>
        </is>
      </c>
    </row>
    <row r="16" ht="40" customHeight="1">
      <c r="A16" s="7" t="inlineStr">
        <is>
          <t>忠</t>
        </is>
      </c>
      <c r="B16" s="7" t="inlineStr">
        <is>
          <t>民泊運営</t>
        </is>
      </c>
      <c r="C16" s="7" t="inlineStr">
        <is>
          <t>南千歳ヴィラ 運営オペレーション整備</t>
        </is>
      </c>
      <c r="D16" s="13" t="inlineStr">
        <is>
          <t>W</t>
        </is>
      </c>
      <c r="E16" s="7" t="inlineStr">
        <is>
          <t>月次</t>
        </is>
      </c>
      <c r="F16" s="7" t="inlineStr">
        <is>
          <t>15.0</t>
        </is>
      </c>
      <c r="G16" s="9" t="inlineStr">
        <is>
          <t>清掃・鍵・緊急対応の体制構築。地元清掃業者との契約・チェックイン自動化設定。</t>
        </is>
      </c>
      <c r="H16" s="9" t="inlineStr">
        <is>
          <t>スマートロック設置済み。清掃会社と契約交渉中</t>
        </is>
      </c>
    </row>
    <row r="17" ht="40" customHeight="1">
      <c r="A17" s="7" t="inlineStr">
        <is>
          <t>京介</t>
        </is>
      </c>
      <c r="B17" s="7" t="inlineStr">
        <is>
          <t>物件取得</t>
        </is>
      </c>
      <c r="C17" s="7" t="inlineStr">
        <is>
          <t>奥河口湖 トレーラーハウス2棟 業者選定・発注</t>
        </is>
      </c>
      <c r="D17" s="13" t="inlineStr">
        <is>
          <t>W</t>
        </is>
      </c>
      <c r="E17" s="7" t="inlineStr">
        <is>
          <t>随時</t>
        </is>
      </c>
      <c r="F17" s="7" t="inlineStr">
        <is>
          <t>15.0</t>
        </is>
      </c>
      <c r="G17" s="9" t="inlineStr">
        <is>
          <t>費目別相場：1棟795〜1,520万円。THD・秀建・地元工務店の3社から相見積もり済み。</t>
        </is>
      </c>
      <c r="H17" s="9" t="inlineStr">
        <is>
          <t>7月中に発注先決定→設置工事8〜9月を目標</t>
        </is>
      </c>
    </row>
    <row r="18" ht="40" customHeight="1">
      <c r="A18" s="7" t="inlineStr">
        <is>
          <t>忠</t>
        </is>
      </c>
      <c r="B18" s="7" t="inlineStr">
        <is>
          <t>許認可</t>
        </is>
      </c>
      <c r="C18" s="7" t="inlineStr">
        <is>
          <t>奥河口湖 トレーラーハウス 設置場所許認可確認</t>
        </is>
      </c>
      <c r="D18" s="8" t="inlineStr">
        <is>
          <t>C</t>
        </is>
      </c>
      <c r="E18" s="7" t="inlineStr">
        <is>
          <t>随時</t>
        </is>
      </c>
      <c r="F18" s="7" t="inlineStr">
        <is>
          <t>8.0</t>
        </is>
      </c>
      <c r="G18" s="9" t="inlineStr">
        <is>
          <t>トレーラーハウスは車両扱いのため建築確認不要だが、土地の用途・条例確認は必要。</t>
        </is>
      </c>
      <c r="H18" s="9" t="inlineStr">
        <is>
          <t>富士河口湖町役場に確認中</t>
        </is>
      </c>
    </row>
    <row r="19" ht="22" customHeight="1">
      <c r="A19" s="17" t="inlineStr"/>
      <c r="B19" s="17" t="inlineStr"/>
      <c r="C19" s="17" t="inlineStr"/>
      <c r="D19" s="17" t="inlineStr"/>
      <c r="E19" s="17" t="inlineStr"/>
      <c r="F19" s="17" t="inlineStr"/>
      <c r="G19" s="18" t="inlineStr"/>
      <c r="H19" s="18" t="inlineStr"/>
    </row>
    <row r="20" ht="22" customHeight="1">
      <c r="A20" s="17" t="inlineStr"/>
      <c r="B20" s="17" t="inlineStr"/>
      <c r="C20" s="17" t="inlineStr"/>
      <c r="D20" s="17" t="inlineStr"/>
      <c r="E20" s="17" t="inlineStr"/>
      <c r="F20" s="17" t="inlineStr"/>
      <c r="G20" s="18" t="inlineStr"/>
      <c r="H20" s="18" t="inlineStr"/>
    </row>
    <row r="21" ht="22" customHeight="1">
      <c r="A21" s="17" t="inlineStr"/>
      <c r="B21" s="17" t="inlineStr"/>
      <c r="C21" s="17" t="inlineStr"/>
      <c r="D21" s="17" t="inlineStr"/>
      <c r="E21" s="17" t="inlineStr"/>
      <c r="F21" s="17" t="inlineStr"/>
      <c r="G21" s="18" t="inlineStr"/>
      <c r="H21" s="18" t="inlineStr"/>
    </row>
    <row r="22" ht="22" customHeight="1">
      <c r="A22" s="17" t="inlineStr"/>
      <c r="B22" s="17" t="inlineStr"/>
      <c r="C22" s="17" t="inlineStr"/>
      <c r="D22" s="17" t="inlineStr"/>
      <c r="E22" s="17" t="inlineStr"/>
      <c r="F22" s="17" t="inlineStr"/>
      <c r="G22" s="18" t="inlineStr"/>
      <c r="H22" s="18" t="inlineStr"/>
    </row>
    <row r="23" ht="22" customHeight="1">
      <c r="A23" s="17" t="inlineStr"/>
      <c r="B23" s="17" t="inlineStr"/>
      <c r="C23" s="17" t="inlineStr"/>
      <c r="D23" s="17" t="inlineStr"/>
      <c r="E23" s="17" t="inlineStr"/>
      <c r="F23" s="17" t="inlineStr"/>
      <c r="G23" s="18" t="inlineStr"/>
      <c r="H23" s="18" t="inlineStr"/>
    </row>
    <row r="24" ht="22" customHeight="1">
      <c r="A24" s="17" t="inlineStr"/>
      <c r="B24" s="17" t="inlineStr"/>
      <c r="C24" s="17" t="inlineStr"/>
      <c r="D24" s="17" t="inlineStr"/>
      <c r="E24" s="17" t="inlineStr"/>
      <c r="F24" s="17" t="inlineStr"/>
      <c r="G24" s="18" t="inlineStr"/>
      <c r="H24" s="18" t="inlineStr"/>
    </row>
    <row r="25" ht="22" customHeight="1">
      <c r="A25" s="17" t="inlineStr"/>
      <c r="B25" s="17" t="inlineStr"/>
      <c r="C25" s="17" t="inlineStr"/>
      <c r="D25" s="17" t="inlineStr"/>
      <c r="E25" s="17" t="inlineStr"/>
      <c r="F25" s="17" t="inlineStr"/>
      <c r="G25" s="18" t="inlineStr"/>
      <c r="H25" s="18" t="inlineStr"/>
    </row>
    <row r="26" ht="22" customHeight="1">
      <c r="A26" s="17" t="inlineStr"/>
      <c r="B26" s="17" t="inlineStr"/>
      <c r="C26" s="17" t="inlineStr"/>
      <c r="D26" s="17" t="inlineStr"/>
      <c r="E26" s="17" t="inlineStr"/>
      <c r="F26" s="17" t="inlineStr"/>
      <c r="G26" s="18" t="inlineStr"/>
      <c r="H26" s="18" t="inlineStr"/>
    </row>
    <row r="27" ht="22" customHeight="1">
      <c r="A27" s="17" t="inlineStr"/>
      <c r="B27" s="17" t="inlineStr"/>
      <c r="C27" s="17" t="inlineStr"/>
      <c r="D27" s="17" t="inlineStr"/>
      <c r="E27" s="17" t="inlineStr"/>
      <c r="F27" s="17" t="inlineStr"/>
      <c r="G27" s="18" t="inlineStr"/>
      <c r="H27" s="18" t="inlineStr"/>
    </row>
    <row r="28" ht="22" customHeight="1">
      <c r="A28" s="17" t="inlineStr"/>
      <c r="B28" s="17" t="inlineStr"/>
      <c r="C28" s="17" t="inlineStr"/>
      <c r="D28" s="17" t="inlineStr"/>
      <c r="E28" s="17" t="inlineStr"/>
      <c r="F28" s="17" t="inlineStr"/>
      <c r="G28" s="18" t="inlineStr"/>
      <c r="H28" s="18" t="inlineStr"/>
    </row>
  </sheetData>
  <mergeCells count="4">
    <mergeCell ref="J4:K4"/>
    <mergeCell ref="A3:H3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0" customWidth="1" min="3" max="3"/>
    <col width="18" customWidth="1" min="4" max="4"/>
    <col width="30" customWidth="1" min="5" max="5"/>
    <col width="32" customWidth="1" min="6" max="6"/>
    <col width="35" customWidth="1" min="7" max="7"/>
  </cols>
  <sheetData>
    <row r="1" ht="32" customHeight="1">
      <c r="A1" s="1" t="inlineStr">
        <is>
          <t>案件帳票（物件別サマリー）</t>
        </is>
      </c>
    </row>
    <row r="2">
      <c r="A2" s="2" t="inlineStr">
        <is>
          <t>各物件・案件の状況を一覧管理。A=進行中 / B=やるべきなのに止まっている / C=やめる・返す</t>
        </is>
      </c>
    </row>
    <row r="3" ht="22" customHeight="1">
      <c r="A3" s="4" t="inlineStr">
        <is>
          <t>案件名</t>
        </is>
      </c>
      <c r="B3" s="4" t="inlineStr">
        <is>
          <t>区分</t>
        </is>
      </c>
      <c r="C3" s="4" t="inlineStr">
        <is>
          <t>担当</t>
        </is>
      </c>
      <c r="D3" s="4" t="inlineStr">
        <is>
          <t>投資規模</t>
        </is>
      </c>
      <c r="E3" s="4" t="inlineStr">
        <is>
          <t>現在のステータス</t>
        </is>
      </c>
      <c r="F3" s="4" t="inlineStr">
        <is>
          <t>直近アクション・期限</t>
        </is>
      </c>
      <c r="G3" s="4" t="inlineStr">
        <is>
          <t>リスク・懸念点</t>
        </is>
      </c>
    </row>
    <row r="4" ht="38" customHeight="1">
      <c r="A4" s="7" t="inlineStr">
        <is>
          <t>ニセコ曽我806-13（飲食×民泊）</t>
        </is>
      </c>
      <c r="B4" s="16" t="inlineStr">
        <is>
          <t>A：進行中</t>
        </is>
      </c>
      <c r="C4" s="7" t="inlineStr">
        <is>
          <t>忠</t>
        </is>
      </c>
      <c r="D4" s="7" t="inlineStr">
        <is>
          <t>総投資3.17億</t>
        </is>
      </c>
      <c r="E4" s="9" t="inlineStr">
        <is>
          <t>浄化槽調査・旅館業許可準備中</t>
        </is>
      </c>
      <c r="F4" s="9" t="inlineStr">
        <is>
          <t>浄化槽見積もり3社→7月中確定</t>
        </is>
      </c>
      <c r="G4" s="9" t="inlineStr">
        <is>
          <t>浄化槽増設1,000万超・旅館業許可の工期</t>
        </is>
      </c>
    </row>
    <row r="5" ht="38" customHeight="1">
      <c r="A5" s="7" t="inlineStr">
        <is>
          <t>忍野村 体験ビレッジ</t>
        </is>
      </c>
      <c r="B5" s="16" t="inlineStr">
        <is>
          <t>A：進行中</t>
        </is>
      </c>
      <c r="C5" s="7" t="inlineStr">
        <is>
          <t>忠・京介</t>
        </is>
      </c>
      <c r="D5" s="7" t="inlineStr">
        <is>
          <t>総投資11.37億（補助金4.55億）</t>
        </is>
      </c>
      <c r="E5" s="9" t="inlineStr">
        <is>
          <t>農地転用確認・補助金申請準備</t>
        </is>
      </c>
      <c r="F5" s="9" t="inlineStr">
        <is>
          <t>農業委員会確認→7月末</t>
        </is>
      </c>
      <c r="G5" s="9" t="inlineStr">
        <is>
          <t>農地転用不許可リスク・自然公園法規制</t>
        </is>
      </c>
    </row>
    <row r="6" ht="38" customHeight="1">
      <c r="A6" s="7" t="inlineStr">
        <is>
          <t>南千歳ヴィラ（一棟貸し）</t>
        </is>
      </c>
      <c r="B6" s="16" t="inlineStr">
        <is>
          <t>A：進行中</t>
        </is>
      </c>
      <c r="C6" s="7" t="inlineStr">
        <is>
          <t>京介</t>
        </is>
      </c>
      <c r="D6" s="7" t="inlineStr">
        <is>
          <t>収益目標：年商817万</t>
        </is>
      </c>
      <c r="E6" s="9" t="inlineStr">
        <is>
          <t>旅館業許可申請・消防工事手配中</t>
        </is>
      </c>
      <c r="F6" s="9" t="inlineStr">
        <is>
          <t>消防工事完了→許可申請→9月開業目標</t>
        </is>
      </c>
      <c r="G6" s="9" t="inlineStr">
        <is>
          <t>10ベッド対応消防設備コスト</t>
        </is>
      </c>
    </row>
    <row r="7" ht="38" customHeight="1">
      <c r="A7" s="7" t="inlineStr">
        <is>
          <t>奥河口湖 トレーラーハウス2棟</t>
        </is>
      </c>
      <c r="B7" s="16" t="inlineStr">
        <is>
          <t>A：進行中</t>
        </is>
      </c>
      <c r="C7" s="7" t="inlineStr">
        <is>
          <t>京介</t>
        </is>
      </c>
      <c r="D7" s="7" t="inlineStr">
        <is>
          <t>1棟795〜1,520万×2棟</t>
        </is>
      </c>
      <c r="E7" s="9" t="inlineStr">
        <is>
          <t>3社相見積もり済み。業者選定中</t>
        </is>
      </c>
      <c r="F7" s="9" t="inlineStr">
        <is>
          <t>7月中発注決定→8〜9月設置</t>
        </is>
      </c>
      <c r="G7" s="9" t="inlineStr">
        <is>
          <t>設置場所の用途・条例確認</t>
        </is>
      </c>
    </row>
    <row r="8" ht="38" customHeight="1">
      <c r="A8" s="7" t="inlineStr">
        <is>
          <t>サントリー協業（忍野村）</t>
        </is>
      </c>
      <c r="B8" s="13" t="inlineStr">
        <is>
          <t>B：止まっている</t>
        </is>
      </c>
      <c r="C8" s="7" t="inlineStr">
        <is>
          <t>京介</t>
        </is>
      </c>
      <c r="D8" s="7" t="inlineStr">
        <is>
          <t>最大7,000万/年</t>
        </is>
      </c>
      <c r="E8" s="9" t="inlineStr">
        <is>
          <t>提案書提出済み。回答待ち</t>
        </is>
      </c>
      <c r="F8" s="9" t="inlineStr">
        <is>
          <t>サントリー回答→6月末フォロー</t>
        </is>
      </c>
      <c r="G8" s="9" t="inlineStr">
        <is>
          <t>回答遅延・条件折り合い</t>
        </is>
      </c>
    </row>
    <row r="9" ht="22" customHeight="1">
      <c r="A9" s="17" t="inlineStr"/>
      <c r="B9" s="17" t="inlineStr"/>
      <c r="C9" s="17" t="inlineStr"/>
      <c r="D9" s="17" t="inlineStr"/>
      <c r="E9" s="18" t="inlineStr"/>
      <c r="F9" s="18" t="inlineStr"/>
      <c r="G9" s="18" t="inlineStr"/>
    </row>
    <row r="10" ht="22" customHeight="1">
      <c r="A10" s="17" t="inlineStr"/>
      <c r="B10" s="17" t="inlineStr"/>
      <c r="C10" s="17" t="inlineStr"/>
      <c r="D10" s="17" t="inlineStr"/>
      <c r="E10" s="18" t="inlineStr"/>
      <c r="F10" s="18" t="inlineStr"/>
      <c r="G10" s="18" t="inlineStr"/>
    </row>
    <row r="11" ht="22" customHeight="1">
      <c r="A11" s="17" t="inlineStr"/>
      <c r="B11" s="17" t="inlineStr"/>
      <c r="C11" s="17" t="inlineStr"/>
      <c r="D11" s="17" t="inlineStr"/>
      <c r="E11" s="18" t="inlineStr"/>
      <c r="F11" s="18" t="inlineStr"/>
      <c r="G11" s="18" t="inlineStr"/>
    </row>
    <row r="12" ht="22" customHeight="1">
      <c r="A12" s="17" t="inlineStr"/>
      <c r="B12" s="17" t="inlineStr"/>
      <c r="C12" s="17" t="inlineStr"/>
      <c r="D12" s="17" t="inlineStr"/>
      <c r="E12" s="18" t="inlineStr"/>
      <c r="F12" s="18" t="inlineStr"/>
      <c r="G12" s="18" t="inlineStr"/>
    </row>
    <row r="13" ht="22" customHeight="1">
      <c r="A13" s="17" t="inlineStr"/>
      <c r="B13" s="17" t="inlineStr"/>
      <c r="C13" s="17" t="inlineStr"/>
      <c r="D13" s="17" t="inlineStr"/>
      <c r="E13" s="18" t="inlineStr"/>
      <c r="F13" s="18" t="inlineStr"/>
      <c r="G13" s="18" t="inlineStr"/>
    </row>
    <row r="14" ht="22" customHeight="1">
      <c r="A14" s="17" t="inlineStr"/>
      <c r="B14" s="17" t="inlineStr"/>
      <c r="C14" s="17" t="inlineStr"/>
      <c r="D14" s="17" t="inlineStr"/>
      <c r="E14" s="18" t="inlineStr"/>
      <c r="F14" s="18" t="inlineStr"/>
      <c r="G14" s="18" t="inlineStr"/>
    </row>
    <row r="15" ht="22" customHeight="1">
      <c r="A15" s="17" t="inlineStr"/>
      <c r="B15" s="17" t="inlineStr"/>
      <c r="C15" s="17" t="inlineStr"/>
      <c r="D15" s="17" t="inlineStr"/>
      <c r="E15" s="18" t="inlineStr"/>
      <c r="F15" s="18" t="inlineStr"/>
      <c r="G15" s="18" t="inlineStr"/>
    </row>
    <row r="16" ht="22" customHeight="1">
      <c r="A16" s="17" t="inlineStr"/>
      <c r="B16" s="17" t="inlineStr"/>
      <c r="C16" s="17" t="inlineStr"/>
      <c r="D16" s="17" t="inlineStr"/>
      <c r="E16" s="18" t="inlineStr"/>
      <c r="F16" s="18" t="inlineStr"/>
      <c r="G16" s="18" t="inlineStr"/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35" customWidth="1" min="3" max="3"/>
    <col width="10" customWidth="1" min="4" max="4"/>
    <col width="10" customWidth="1" min="5" max="5"/>
    <col width="10" customWidth="1" min="6" max="6"/>
    <col width="25" customWidth="1" min="7" max="7"/>
  </cols>
  <sheetData>
    <row r="1" ht="32" customHeight="1">
      <c r="A1" s="1" t="inlineStr">
        <is>
          <t>特命プロジェクト候補リスト</t>
        </is>
      </c>
    </row>
    <row r="2">
      <c r="A2" s="2" t="inlineStr">
        <is>
          <t>各自◎(やるべき)/○(あり)/△(優先度低)で投票。初回は最大3本に絞る。スコア＝◎2点/○1点</t>
        </is>
      </c>
    </row>
    <row r="3" ht="22" customHeight="1">
      <c r="A3" s="4" t="inlineStr">
        <is>
          <t>候補名</t>
        </is>
      </c>
      <c r="B3" s="4" t="inlineStr">
        <is>
          <t>なぜMTR社長室か（部門単独で動かない理由）</t>
        </is>
      </c>
      <c r="C3" s="4" t="inlineStr">
        <is>
          <t>半年後の成果イメージ</t>
        </is>
      </c>
      <c r="D3" s="4" t="inlineStr">
        <is>
          <t>投票：忠</t>
        </is>
      </c>
      <c r="E3" s="4" t="inlineStr">
        <is>
          <t>投票：京介</t>
        </is>
      </c>
      <c r="F3" s="4" t="inlineStr">
        <is>
          <t>スコア</t>
        </is>
      </c>
      <c r="G3" s="4" t="inlineStr">
        <is>
          <t>メモ</t>
        </is>
      </c>
    </row>
    <row r="4" ht="36" customHeight="1">
      <c r="A4" s="7" t="inlineStr">
        <is>
          <t>忍野村ビレッジ 補助金一括管理</t>
        </is>
      </c>
      <c r="B4" s="9" t="inlineStr">
        <is>
          <t>農水省・観光庁・環境省と3省庁に跨り、担当部署がない。誰かが横串で動かさないと時機を逃す</t>
        </is>
      </c>
      <c r="C4" s="9" t="inlineStr">
        <is>
          <t>補助金4.55億の採択内定・条件確定</t>
        </is>
      </c>
      <c r="D4" s="7" t="inlineStr">
        <is>
          <t>◎</t>
        </is>
      </c>
      <c r="E4" s="7" t="inlineStr">
        <is>
          <t>◎</t>
        </is>
      </c>
      <c r="F4" s="7" t="inlineStr">
        <is>
          <t>4</t>
        </is>
      </c>
      <c r="G4" s="9" t="inlineStr">
        <is>
          <t>優先度最高</t>
        </is>
      </c>
    </row>
    <row r="5" ht="36" customHeight="1">
      <c r="A5" s="7" t="inlineStr">
        <is>
          <t>民泊KPIダッシュボード強化</t>
        </is>
      </c>
      <c r="B5" s="9" t="inlineStr">
        <is>
          <t>南千歳・忍野・ニセコの稼働率・収益が担当ごとにバラバラ。経営判断に使えない</t>
        </is>
      </c>
      <c r="C5" s="9" t="inlineStr">
        <is>
          <t>月次レポートの自動化完了・社長室で一元把握</t>
        </is>
      </c>
      <c r="D5" s="7" t="inlineStr">
        <is>
          <t>◎</t>
        </is>
      </c>
      <c r="E5" s="7" t="inlineStr">
        <is>
          <t>○</t>
        </is>
      </c>
      <c r="F5" s="7" t="inlineStr">
        <is>
          <t>3</t>
        </is>
      </c>
      <c r="G5" s="9" t="inlineStr">
        <is>
          <t>既存ダッシュボードと連携</t>
        </is>
      </c>
    </row>
    <row r="6" ht="36" customHeight="1">
      <c r="A6" s="7" t="inlineStr">
        <is>
          <t>ニセコ 許認可フルパッケージ対応</t>
        </is>
      </c>
      <c r="B6" s="9" t="inlineStr">
        <is>
          <t>浄化槽・旅館業・用途変更・防火避難が複数省庁・業者に跨り、牛耳る部署がない</t>
        </is>
      </c>
      <c r="C6" s="9" t="inlineStr">
        <is>
          <t>全許認可クリア→着工開始</t>
        </is>
      </c>
      <c r="D6" s="7" t="inlineStr">
        <is>
          <t>○</t>
        </is>
      </c>
      <c r="E6" s="7" t="inlineStr">
        <is>
          <t>◎</t>
        </is>
      </c>
      <c r="F6" s="7" t="inlineStr">
        <is>
          <t>3</t>
        </is>
      </c>
      <c r="G6" s="9" t="inlineStr">
        <is>
          <t>外部専門家起用必須</t>
        </is>
      </c>
    </row>
    <row r="7" ht="22" customHeight="1">
      <c r="A7" s="17" t="inlineStr"/>
      <c r="B7" s="18" t="inlineStr"/>
      <c r="C7" s="18" t="inlineStr"/>
      <c r="D7" s="17" t="inlineStr"/>
      <c r="E7" s="17" t="inlineStr"/>
      <c r="F7" s="17" t="inlineStr"/>
      <c r="G7" s="18" t="inlineStr"/>
    </row>
    <row r="8" ht="22" customHeight="1">
      <c r="A8" s="17" t="inlineStr"/>
      <c r="B8" s="18" t="inlineStr"/>
      <c r="C8" s="18" t="inlineStr"/>
      <c r="D8" s="17" t="inlineStr"/>
      <c r="E8" s="17" t="inlineStr"/>
      <c r="F8" s="17" t="inlineStr"/>
      <c r="G8" s="18" t="inlineStr"/>
    </row>
    <row r="9" ht="22" customHeight="1">
      <c r="A9" s="17" t="inlineStr"/>
      <c r="B9" s="18" t="inlineStr"/>
      <c r="C9" s="18" t="inlineStr"/>
      <c r="D9" s="17" t="inlineStr"/>
      <c r="E9" s="17" t="inlineStr"/>
      <c r="F9" s="17" t="inlineStr"/>
      <c r="G9" s="18" t="inlineStr"/>
    </row>
    <row r="10" ht="22" customHeight="1">
      <c r="A10" s="17" t="inlineStr"/>
      <c r="B10" s="18" t="inlineStr"/>
      <c r="C10" s="18" t="inlineStr"/>
      <c r="D10" s="17" t="inlineStr"/>
      <c r="E10" s="17" t="inlineStr"/>
      <c r="F10" s="17" t="inlineStr"/>
      <c r="G10" s="18" t="inlineStr"/>
    </row>
    <row r="11" ht="22" customHeight="1">
      <c r="A11" s="17" t="inlineStr"/>
      <c r="B11" s="18" t="inlineStr"/>
      <c r="C11" s="18" t="inlineStr"/>
      <c r="D11" s="17" t="inlineStr"/>
      <c r="E11" s="17" t="inlineStr"/>
      <c r="F11" s="17" t="inlineStr"/>
      <c r="G11" s="18" t="inlineStr"/>
    </row>
    <row r="12" ht="22" customHeight="1">
      <c r="A12" s="17" t="inlineStr"/>
      <c r="B12" s="18" t="inlineStr"/>
      <c r="C12" s="18" t="inlineStr"/>
      <c r="D12" s="17" t="inlineStr"/>
      <c r="E12" s="17" t="inlineStr"/>
      <c r="F12" s="17" t="inlineStr"/>
      <c r="G12" s="18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5" customWidth="1" min="3" max="3"/>
    <col width="38" customWidth="1" min="4" max="4"/>
    <col width="15" customWidth="1" min="5" max="5"/>
  </cols>
  <sheetData>
    <row r="1" ht="32" customHeight="1">
      <c r="A1" s="19" t="inlineStr">
        <is>
          <t>社長に聞くこと・決めてもらうこと（パーキングロット）</t>
        </is>
      </c>
    </row>
    <row r="2">
      <c r="A2" s="2" t="inlineStr">
        <is>
          <t>会議で出た「社長マター」をここに溜める。自由記入</t>
        </is>
      </c>
    </row>
    <row r="3" ht="22" customHeight="1">
      <c r="A3" s="4" t="inlineStr">
        <is>
          <t>記入者</t>
        </is>
      </c>
      <c r="B3" s="4" t="inlineStr">
        <is>
          <t>聞きたいこと・決めてもらいたいこと</t>
        </is>
      </c>
      <c r="C3" s="4" t="inlineStr">
        <is>
          <t>種別</t>
        </is>
      </c>
      <c r="D3" s="4" t="inlineStr">
        <is>
          <t>補足・背景</t>
        </is>
      </c>
      <c r="E3" s="4" t="inlineStr">
        <is>
          <t>対応日</t>
        </is>
      </c>
    </row>
    <row r="4" ht="22" customHeight="1">
      <c r="A4" s="17" t="inlineStr"/>
      <c r="B4" s="18" t="inlineStr"/>
      <c r="C4" s="17" t="inlineStr"/>
      <c r="D4" s="18" t="inlineStr"/>
      <c r="E4" s="17" t="inlineStr"/>
    </row>
    <row r="5" ht="22" customHeight="1">
      <c r="A5" s="17" t="inlineStr"/>
      <c r="B5" s="18" t="inlineStr"/>
      <c r="C5" s="17" t="inlineStr"/>
      <c r="D5" s="18" t="inlineStr"/>
      <c r="E5" s="17" t="inlineStr"/>
    </row>
    <row r="6" ht="22" customHeight="1">
      <c r="A6" s="17" t="inlineStr"/>
      <c r="B6" s="18" t="inlineStr"/>
      <c r="C6" s="17" t="inlineStr"/>
      <c r="D6" s="18" t="inlineStr"/>
      <c r="E6" s="17" t="inlineStr"/>
    </row>
    <row r="7" ht="22" customHeight="1">
      <c r="A7" s="17" t="inlineStr"/>
      <c r="B7" s="18" t="inlineStr"/>
      <c r="C7" s="17" t="inlineStr"/>
      <c r="D7" s="18" t="inlineStr"/>
      <c r="E7" s="17" t="inlineStr"/>
    </row>
    <row r="8" ht="22" customHeight="1">
      <c r="A8" s="17" t="inlineStr"/>
      <c r="B8" s="18" t="inlineStr"/>
      <c r="C8" s="17" t="inlineStr"/>
      <c r="D8" s="18" t="inlineStr"/>
      <c r="E8" s="17" t="inlineStr"/>
    </row>
    <row r="9" ht="22" customHeight="1">
      <c r="A9" s="17" t="inlineStr"/>
      <c r="B9" s="18" t="inlineStr"/>
      <c r="C9" s="17" t="inlineStr"/>
      <c r="D9" s="18" t="inlineStr"/>
      <c r="E9" s="17" t="inlineStr"/>
    </row>
    <row r="10" ht="22" customHeight="1">
      <c r="A10" s="17" t="inlineStr"/>
      <c r="B10" s="18" t="inlineStr"/>
      <c r="C10" s="17" t="inlineStr"/>
      <c r="D10" s="18" t="inlineStr"/>
      <c r="E10" s="17" t="inlineStr"/>
    </row>
    <row r="11" ht="22" customHeight="1">
      <c r="A11" s="17" t="inlineStr"/>
      <c r="B11" s="18" t="inlineStr"/>
      <c r="C11" s="17" t="inlineStr"/>
      <c r="D11" s="18" t="inlineStr"/>
      <c r="E11" s="17" t="inlineStr"/>
    </row>
    <row r="12" ht="22" customHeight="1">
      <c r="A12" s="17" t="inlineStr"/>
      <c r="B12" s="18" t="inlineStr"/>
      <c r="C12" s="17" t="inlineStr"/>
      <c r="D12" s="18" t="inlineStr"/>
      <c r="E12" s="17" t="inlineStr"/>
    </row>
    <row r="13" ht="22" customHeight="1">
      <c r="A13" s="17" t="inlineStr"/>
      <c r="B13" s="18" t="inlineStr"/>
      <c r="C13" s="17" t="inlineStr"/>
      <c r="D13" s="18" t="inlineStr"/>
      <c r="E13" s="17" t="inlineStr"/>
    </row>
    <row r="14" ht="22" customHeight="1">
      <c r="A14" s="17" t="inlineStr"/>
      <c r="B14" s="18" t="inlineStr"/>
      <c r="C14" s="17" t="inlineStr"/>
      <c r="D14" s="18" t="inlineStr"/>
      <c r="E14" s="17" t="inlineStr"/>
    </row>
    <row r="15" ht="22" customHeight="1">
      <c r="A15" s="17" t="inlineStr"/>
      <c r="B15" s="18" t="inlineStr"/>
      <c r="C15" s="17" t="inlineStr"/>
      <c r="D15" s="18" t="inlineStr"/>
      <c r="E15" s="17" t="inlineStr"/>
    </row>
    <row r="16" ht="22" customHeight="1">
      <c r="A16" s="17" t="inlineStr"/>
      <c r="B16" s="18" t="inlineStr"/>
      <c r="C16" s="17" t="inlineStr"/>
      <c r="D16" s="18" t="inlineStr"/>
      <c r="E16" s="17" t="inlineStr"/>
    </row>
    <row r="17" ht="22" customHeight="1">
      <c r="A17" s="17" t="inlineStr"/>
      <c r="B17" s="18" t="inlineStr"/>
      <c r="C17" s="17" t="inlineStr"/>
      <c r="D17" s="18" t="inlineStr"/>
      <c r="E17" s="17" t="inlineStr"/>
    </row>
    <row r="18" ht="22" customHeight="1">
      <c r="A18" s="17" t="inlineStr"/>
      <c r="B18" s="18" t="inlineStr"/>
      <c r="C18" s="17" t="inlineStr"/>
      <c r="D18" s="18" t="inlineStr"/>
      <c r="E18" s="17" t="inlineStr"/>
    </row>
    <row r="19" ht="22" customHeight="1">
      <c r="A19" s="17" t="inlineStr"/>
      <c r="B19" s="18" t="inlineStr"/>
      <c r="C19" s="17" t="inlineStr"/>
      <c r="D19" s="18" t="inlineStr"/>
      <c r="E19" s="17" t="inlineStr"/>
    </row>
    <row r="20" ht="22" customHeight="1">
      <c r="A20" s="17" t="inlineStr"/>
      <c r="B20" s="18" t="inlineStr"/>
      <c r="C20" s="17" t="inlineStr"/>
      <c r="D20" s="18" t="inlineStr"/>
      <c r="E20" s="17" t="inlineStr"/>
    </row>
    <row r="21" ht="22" customHeight="1">
      <c r="A21" s="17" t="inlineStr"/>
      <c r="B21" s="18" t="inlineStr"/>
      <c r="C21" s="17" t="inlineStr"/>
      <c r="D21" s="18" t="inlineStr"/>
      <c r="E21" s="17" t="inlineStr"/>
    </row>
    <row r="22" ht="22" customHeight="1">
      <c r="A22" s="17" t="inlineStr"/>
      <c r="B22" s="18" t="inlineStr"/>
      <c r="C22" s="17" t="inlineStr"/>
      <c r="D22" s="18" t="inlineStr"/>
      <c r="E22" s="17" t="inlineStr"/>
    </row>
    <row r="23" ht="22" customHeight="1">
      <c r="A23" s="17" t="inlineStr"/>
      <c r="B23" s="18" t="inlineStr"/>
      <c r="C23" s="17" t="inlineStr"/>
      <c r="D23" s="18" t="inlineStr"/>
      <c r="E23" s="17" t="inlineStr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2026-06-25T23:57:28Z</dcterms:created>
  <dcterms:modified xsi:type="dcterms:W3CDTF">2026-06-25T23:57:28Z</dcterms:modified>
</cp:coreProperties>
</file>